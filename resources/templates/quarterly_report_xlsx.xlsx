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8_{EB0F69BD-4D14-44BF-BA17-3DA2AA133584}" xr6:coauthVersionLast="47" xr6:coauthVersionMax="47" xr10:uidLastSave="{00000000-0000-0000-0000-000000000000}"/>
  <bookViews>
    <workbookView xWindow="43080" yWindow="-120" windowWidth="25440" windowHeight="15270" tabRatio="829" firstSheet="3" activeTab="12" xr2:uid="{00000000-000D-0000-FFFF-FFFF00000000}"/>
  </bookViews>
  <sheets>
    <sheet name="Page de garde" sheetId="18" r:id="rId1"/>
    <sheet name="Fiche tech CGA" sheetId="17" r:id="rId2"/>
    <sheet name="Suivi TEE" sheetId="14" r:id="rId3"/>
    <sheet name="Suivi RME" sheetId="13" r:id="rId4"/>
    <sheet name="Nvx TEE" sheetId="12" r:id="rId5"/>
    <sheet name="NvxRME" sheetId="6" r:id="rId6"/>
    <sheet name="Surclassement IS-RME" sheetId="7" r:id="rId7"/>
    <sheet name="Surclassement RME-RSI" sheetId="8" r:id="rId8"/>
    <sheet name="Résiliation TEE" sheetId="9" r:id="rId9"/>
    <sheet name="Résiliation RME" sheetId="10" r:id="rId10"/>
    <sheet name="TEE augmenté" sheetId="11" r:id="rId11"/>
    <sheet name="RME augment" sheetId="20" r:id="rId12"/>
    <sheet name="RESUME" sheetId="16" r:id="rId13"/>
    <sheet name="Feuil1" sheetId="19" r:id="rId14"/>
  </sheets>
  <definedNames>
    <definedName name="_ftn1" localSheetId="1">'Fiche tech CGA'!$B$54</definedName>
    <definedName name="_ftn1" localSheetId="2">'Suivi TEE'!#REF!</definedName>
    <definedName name="_ftnref1" localSheetId="1">'Fiche tech CGA'!$I$46</definedName>
    <definedName name="_ftnref1" localSheetId="2">'Suivi TEE'!#REF!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8" i="14" l="1"/>
  <c r="Q218" i="14"/>
  <c r="T218" i="14" s="1"/>
  <c r="P218" i="14"/>
  <c r="O218" i="14"/>
  <c r="N218" i="14"/>
  <c r="T217" i="14"/>
  <c r="T206" i="14"/>
  <c r="T205" i="14"/>
  <c r="T204" i="14"/>
  <c r="I77" i="14" l="1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O54" i="14"/>
  <c r="O55" i="14"/>
  <c r="O56" i="14"/>
  <c r="O57" i="14"/>
  <c r="O58" i="14"/>
  <c r="O59" i="14"/>
  <c r="O60" i="14"/>
  <c r="O53" i="14"/>
  <c r="I54" i="14"/>
  <c r="I55" i="14"/>
  <c r="I56" i="14"/>
  <c r="I57" i="14"/>
  <c r="I58" i="14"/>
  <c r="I59" i="14"/>
  <c r="I60" i="14"/>
  <c r="I53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16" i="14"/>
  <c r="I16" i="14"/>
  <c r="S197" i="14" l="1"/>
  <c r="Q197" i="14"/>
  <c r="P197" i="14"/>
  <c r="O197" i="14"/>
  <c r="N197" i="14"/>
  <c r="T196" i="14"/>
  <c r="T181" i="14"/>
  <c r="T180" i="14"/>
  <c r="T179" i="14"/>
  <c r="T178" i="14"/>
  <c r="T177" i="14"/>
  <c r="T176" i="14"/>
  <c r="T175" i="14"/>
  <c r="J175" i="14"/>
  <c r="I175" i="14" s="1"/>
  <c r="S168" i="14"/>
  <c r="Q168" i="14"/>
  <c r="P168" i="14"/>
  <c r="O168" i="14"/>
  <c r="N168" i="14"/>
  <c r="T167" i="14"/>
  <c r="T154" i="14"/>
  <c r="T153" i="14"/>
  <c r="T152" i="14"/>
  <c r="S144" i="14"/>
  <c r="Q144" i="14"/>
  <c r="P144" i="14"/>
  <c r="O144" i="14"/>
  <c r="N144" i="14"/>
  <c r="T143" i="14"/>
  <c r="T136" i="14"/>
  <c r="T135" i="14"/>
  <c r="T134" i="14"/>
  <c r="S127" i="14"/>
  <c r="Q127" i="14"/>
  <c r="P127" i="14"/>
  <c r="O127" i="14"/>
  <c r="N127" i="14"/>
  <c r="T126" i="14"/>
  <c r="T122" i="14"/>
  <c r="T121" i="14"/>
  <c r="T120" i="14"/>
  <c r="T119" i="14"/>
  <c r="T118" i="14"/>
  <c r="T117" i="14"/>
  <c r="T116" i="14"/>
  <c r="J116" i="14"/>
  <c r="I116" i="14" s="1"/>
  <c r="S108" i="14"/>
  <c r="Q108" i="14"/>
  <c r="P108" i="14"/>
  <c r="O108" i="14"/>
  <c r="N108" i="14"/>
  <c r="T107" i="14"/>
  <c r="T78" i="14"/>
  <c r="T77" i="14"/>
  <c r="T76" i="14"/>
  <c r="I76" i="14"/>
  <c r="S68" i="14"/>
  <c r="Q68" i="14"/>
  <c r="P68" i="14"/>
  <c r="O68" i="14"/>
  <c r="N68" i="14"/>
  <c r="T67" i="14"/>
  <c r="T58" i="14"/>
  <c r="T57" i="14"/>
  <c r="T56" i="14"/>
  <c r="T55" i="14"/>
  <c r="T54" i="14"/>
  <c r="T53" i="14"/>
  <c r="T16" i="14"/>
  <c r="T197" i="14" l="1"/>
  <c r="T68" i="14"/>
  <c r="T108" i="14"/>
  <c r="T168" i="14"/>
  <c r="T144" i="14"/>
  <c r="T127" i="14"/>
  <c r="E24" i="16"/>
  <c r="B24" i="16"/>
  <c r="H23" i="16"/>
  <c r="E15" i="16"/>
  <c r="B15" i="16"/>
  <c r="H14" i="16"/>
  <c r="E7" i="16"/>
  <c r="B7" i="16"/>
  <c r="H17" i="6" l="1"/>
  <c r="R17" i="13" l="1"/>
  <c r="Q17" i="13"/>
  <c r="P17" i="13"/>
  <c r="O17" i="13"/>
  <c r="N17" i="13"/>
  <c r="M17" i="13"/>
  <c r="L17" i="13"/>
  <c r="K17" i="13"/>
  <c r="J17" i="13"/>
  <c r="I17" i="13"/>
  <c r="T45" i="14"/>
  <c r="T22" i="14"/>
  <c r="T21" i="14"/>
  <c r="Q46" i="14"/>
  <c r="T20" i="14"/>
  <c r="T19" i="14"/>
  <c r="T18" i="14"/>
  <c r="T17" i="14"/>
  <c r="S17" i="13" l="1"/>
  <c r="N46" i="14" l="1"/>
  <c r="O46" i="14"/>
  <c r="S46" i="14"/>
  <c r="P46" i="14" l="1"/>
  <c r="T46" i="14" s="1"/>
</calcChain>
</file>

<file path=xl/sharedStrings.xml><?xml version="1.0" encoding="utf-8"?>
<sst xmlns="http://schemas.openxmlformats.org/spreadsheetml/2006/main" count="630" uniqueCount="172">
  <si>
    <t>RAPPORT D'ACTIVITES</t>
  </si>
  <si>
    <t>Date:</t>
  </si>
  <si>
    <t>Destinataire:</t>
  </si>
  <si>
    <t>1ère Partie: FICHE TECHNIQUE DU CGA</t>
  </si>
  <si>
    <t>I- PRESENTATION DU CGA</t>
  </si>
  <si>
    <t>II- CAPITAL HUMAIN DU CGA</t>
  </si>
  <si>
    <t>N°</t>
  </si>
  <si>
    <t>Nom et Prénoms</t>
  </si>
  <si>
    <t>Nationalité</t>
  </si>
  <si>
    <t>Profession</t>
  </si>
  <si>
    <t>Diplômes</t>
  </si>
  <si>
    <t>Fonction dans le CGA</t>
  </si>
  <si>
    <t>Date de prise de service dans le CGA</t>
  </si>
  <si>
    <t>Pratique professionnelle actuelle ou antérieure</t>
  </si>
  <si>
    <t>Structure d’exercice</t>
  </si>
  <si>
    <t>Fonction exercée</t>
  </si>
  <si>
    <t>Années d’exercice</t>
  </si>
  <si>
    <t>Impôts acquittés au titre du trimestre</t>
  </si>
  <si>
    <t>ITS</t>
  </si>
  <si>
    <t>IGR</t>
  </si>
  <si>
    <t>CNPS (1)</t>
  </si>
  <si>
    <t>Durée du service dans le CGA</t>
  </si>
  <si>
    <t>III-RESSOURCES MATERIELLES DU CGA</t>
  </si>
  <si>
    <t>Locaux</t>
  </si>
  <si>
    <t>Moyens d’exploitation du CGA</t>
  </si>
  <si>
    <t>Mobiliers</t>
  </si>
  <si>
    <t>Matériels informatiques</t>
  </si>
  <si>
    <t>Logiciels</t>
  </si>
  <si>
    <t>Vidéos projecteur</t>
  </si>
  <si>
    <t>Véhicule</t>
  </si>
  <si>
    <t>I-FORMATION</t>
  </si>
  <si>
    <t>II-ASSISTANCE EN MATIERE DE GESTION</t>
  </si>
  <si>
    <t>III-PREVENTION FINANCIERE ET FISCALE</t>
  </si>
  <si>
    <t>IV-TENUE DE LA COMPTABILTE DES ADHERENTS</t>
  </si>
  <si>
    <t>V-REUNIONS ET ACTIVITES DE PROMOTION, DE COMMUNICATION ET DE SENSIBILISATION</t>
  </si>
  <si>
    <t>(2)  A renseigner à l’échéance prévue par la loi</t>
  </si>
  <si>
    <t>III-SUGGESTIONS DU CGA</t>
  </si>
  <si>
    <t>IV-PREVISION D’ACTIVITE POUR LE TRIMESTRE SUIVANT</t>
  </si>
  <si>
    <t>I-DIFFICULTES INTERNES AU CGA</t>
  </si>
  <si>
    <t>II- DIFFICULTES AVEC LES DIFFERENTS PARTENAIRES</t>
  </si>
  <si>
    <t>Nom et Prénoms ou raison sociale</t>
  </si>
  <si>
    <t>NCC</t>
  </si>
  <si>
    <t>Activité</t>
  </si>
  <si>
    <t>N° et date d'adhésion</t>
  </si>
  <si>
    <t>N° section et parcelle</t>
  </si>
  <si>
    <t>CA prévisionnel déclaré (pour les nouveaux contribuables) ou CA de l'exercice précédent (pour les anciens contribuables)</t>
  </si>
  <si>
    <t>Cotisation annuelle</t>
  </si>
  <si>
    <t>Cotisation trimestrielle</t>
  </si>
  <si>
    <t>Date et motifs de la rupture du contrat d'adhésion</t>
  </si>
  <si>
    <t>Exigible</t>
  </si>
  <si>
    <t>Acquittée</t>
  </si>
  <si>
    <t>Avant abattement</t>
  </si>
  <si>
    <t>Après abattement</t>
  </si>
  <si>
    <t>Montant</t>
  </si>
  <si>
    <t>Nbre de mois correspondant</t>
  </si>
  <si>
    <t>Reste à recouvrer</t>
  </si>
  <si>
    <t>Taux de recouvrement</t>
  </si>
  <si>
    <t>TOTAL</t>
  </si>
  <si>
    <t>CA prévisionnel déclaré(pour les nouveaux contribuables) ou CA de l'exercice précédent (pour les anciens contribuables)</t>
  </si>
  <si>
    <t>Paiements effectués au titre du trimestre</t>
  </si>
  <si>
    <t>Patente</t>
  </si>
  <si>
    <t>BIC</t>
  </si>
  <si>
    <t>TVA</t>
  </si>
  <si>
    <t>TSE</t>
  </si>
  <si>
    <t>AIRSI</t>
  </si>
  <si>
    <t>IRVM</t>
  </si>
  <si>
    <t>IRC</t>
  </si>
  <si>
    <t>Autres</t>
  </si>
  <si>
    <t>Total</t>
  </si>
  <si>
    <t xml:space="preserve">       Adresse / Localisation</t>
  </si>
  <si>
    <t>Date d’immatriculation</t>
  </si>
  <si>
    <t>Adresse / Localisation</t>
  </si>
  <si>
    <t>Evolution du C.A des adhérents</t>
  </si>
  <si>
    <t>Cotisations annuelles antérieures</t>
  </si>
  <si>
    <t>Cotisations en N</t>
  </si>
  <si>
    <t>Motifs du sur classement</t>
  </si>
  <si>
    <t>N-3</t>
  </si>
  <si>
    <t>N-2</t>
  </si>
  <si>
    <t>N-1</t>
  </si>
  <si>
    <t>ETAT DES RESILIATIONS</t>
  </si>
  <si>
    <t xml:space="preserve">Chiffre d'affaire </t>
  </si>
  <si>
    <t>reste à recouvrer</t>
  </si>
  <si>
    <t>N et date d'adhésion</t>
  </si>
  <si>
    <t>N section et parcelle</t>
  </si>
  <si>
    <t>Cotisation annuelle antérieure (N-1)</t>
  </si>
  <si>
    <t>Cotisation annuelle (N)</t>
  </si>
  <si>
    <t xml:space="preserve"> Adresse  /  Localisation</t>
  </si>
  <si>
    <t>Autres(FDFP)</t>
  </si>
  <si>
    <t>Nature de l’assistance comptable effectuée</t>
  </si>
  <si>
    <t>Bénéficiaire de l’assistance comptable</t>
  </si>
  <si>
    <t>Fréquence de l’assistance comptable</t>
  </si>
  <si>
    <t>Nature des outils de gestion mis à la disposition des adhérents</t>
  </si>
  <si>
    <t>Nature de la prévention fiscale</t>
  </si>
  <si>
    <t>Bénéficiaire</t>
  </si>
  <si>
    <t>LISTE DES CLIENTS SYNTHETIQUES</t>
  </si>
  <si>
    <t>NOM ET PRENOMS</t>
  </si>
  <si>
    <t>LISTE DES CLIENTS RSI</t>
  </si>
  <si>
    <t>Nombre de SMT établis et transmis aux services des Impôts</t>
  </si>
  <si>
    <t>Nombre de bilans (RSI) établis et transmis aux services des Impôts</t>
  </si>
  <si>
    <t>Rencontres avec les services de la DGI</t>
  </si>
  <si>
    <t>Rencontres avec les partenaires divers</t>
  </si>
  <si>
    <t>Besoin en moyens d’exploitation du CGA</t>
  </si>
  <si>
    <t>Les thèmes traités portaient sur:</t>
  </si>
  <si>
    <t>Climatiseur</t>
  </si>
  <si>
    <t>SECRETARIAT PERMANENT</t>
  </si>
  <si>
    <t>TOTAL GENERAL DES ADHERENTS</t>
  </si>
  <si>
    <t xml:space="preserve">TOTAL GENERAL </t>
  </si>
  <si>
    <t>TOTAL GENERAL DES RESILIES</t>
  </si>
  <si>
    <t>TOTAL GENERAL DES NOUVEAUX ADHERENTS</t>
  </si>
  <si>
    <t>CDI 1</t>
  </si>
  <si>
    <t>CDI 2</t>
  </si>
  <si>
    <t>CDI 3</t>
  </si>
  <si>
    <t>CDI 4</t>
  </si>
  <si>
    <t>CDI 5</t>
  </si>
  <si>
    <t>RESILIATIONS</t>
  </si>
  <si>
    <t>SECRETARIAT PERMANENT DES CGA</t>
  </si>
  <si>
    <r>
      <t>·</t>
    </r>
    <r>
      <rPr>
        <sz val="7"/>
        <color theme="1"/>
        <rFont val="Arial"/>
        <family val="2"/>
      </rPr>
      <t xml:space="preserve">         </t>
    </r>
    <r>
      <rPr>
        <i/>
        <sz val="11"/>
        <color theme="1"/>
        <rFont val="Arial"/>
        <family val="2"/>
      </rPr>
      <t>Dénomination du CGA</t>
    </r>
  </si>
  <si>
    <r>
      <t>·</t>
    </r>
    <r>
      <rPr>
        <sz val="7"/>
        <color theme="1"/>
        <rFont val="Arial"/>
        <family val="2"/>
      </rPr>
      <t xml:space="preserve">         </t>
    </r>
    <r>
      <rPr>
        <i/>
        <sz val="11"/>
        <color theme="1"/>
        <rFont val="Arial"/>
        <family val="2"/>
      </rPr>
      <t>NCC</t>
    </r>
  </si>
  <si>
    <r>
      <t>·</t>
    </r>
    <r>
      <rPr>
        <sz val="7"/>
        <color theme="1"/>
        <rFont val="Arial"/>
        <family val="2"/>
      </rPr>
      <t xml:space="preserve">         </t>
    </r>
    <r>
      <rPr>
        <i/>
        <sz val="11"/>
        <color theme="1"/>
        <rFont val="Arial"/>
        <family val="2"/>
      </rPr>
      <t>Siège</t>
    </r>
  </si>
  <si>
    <r>
      <t>·</t>
    </r>
    <r>
      <rPr>
        <sz val="7"/>
        <color theme="1"/>
        <rFont val="Arial"/>
        <family val="2"/>
      </rPr>
      <t xml:space="preserve">         </t>
    </r>
    <r>
      <rPr>
        <i/>
        <sz val="11"/>
        <color theme="1"/>
        <rFont val="Arial"/>
        <family val="2"/>
      </rPr>
      <t>Localisation</t>
    </r>
  </si>
  <si>
    <r>
      <t>·</t>
    </r>
    <r>
      <rPr>
        <sz val="7"/>
        <color theme="1"/>
        <rFont val="Arial"/>
        <family val="2"/>
      </rPr>
      <t xml:space="preserve">         </t>
    </r>
    <r>
      <rPr>
        <i/>
        <sz val="11"/>
        <color theme="1"/>
        <rFont val="Arial"/>
        <family val="2"/>
      </rPr>
      <t>Adresse (Téléphone, Cellulaire, Fax, E-mail)</t>
    </r>
  </si>
  <si>
    <r>
      <t>·</t>
    </r>
    <r>
      <rPr>
        <sz val="7"/>
        <color theme="1"/>
        <rFont val="Arial"/>
        <family val="2"/>
      </rPr>
      <t xml:space="preserve">         </t>
    </r>
    <r>
      <rPr>
        <i/>
        <sz val="11"/>
        <color theme="1"/>
        <rFont val="Arial"/>
        <family val="2"/>
      </rPr>
      <t>N° de l’agrément du CGA</t>
    </r>
  </si>
  <si>
    <r>
      <t>·</t>
    </r>
    <r>
      <rPr>
        <sz val="7"/>
        <color theme="1"/>
        <rFont val="Arial"/>
        <family val="2"/>
      </rPr>
      <t xml:space="preserve">         </t>
    </r>
    <r>
      <rPr>
        <i/>
        <sz val="11"/>
        <color theme="1"/>
        <rFont val="Arial"/>
        <family val="2"/>
      </rPr>
      <t>Direction Régionale</t>
    </r>
  </si>
  <si>
    <r>
      <t>·</t>
    </r>
    <r>
      <rPr>
        <sz val="7"/>
        <color theme="1"/>
        <rFont val="Arial"/>
        <family val="2"/>
      </rPr>
      <t xml:space="preserve">         </t>
    </r>
    <r>
      <rPr>
        <i/>
        <sz val="11"/>
        <color theme="1"/>
        <rFont val="Arial"/>
        <family val="2"/>
      </rPr>
      <t>Service d’Assiette d’Impôts Divers de gestion</t>
    </r>
  </si>
  <si>
    <r>
      <t>·</t>
    </r>
    <r>
      <rPr>
        <sz val="7"/>
        <color theme="1"/>
        <rFont val="Arial"/>
        <family val="2"/>
      </rPr>
      <t xml:space="preserve">         </t>
    </r>
    <r>
      <rPr>
        <i/>
        <sz val="11"/>
        <color theme="1"/>
        <rFont val="Arial"/>
        <family val="2"/>
      </rPr>
      <t>Forme juridique, actionnaires et capital</t>
    </r>
  </si>
  <si>
    <r>
      <t>·</t>
    </r>
    <r>
      <rPr>
        <sz val="7"/>
        <color theme="1"/>
        <rFont val="Arial"/>
        <family val="2"/>
      </rPr>
      <t xml:space="preserve">         </t>
    </r>
    <r>
      <rPr>
        <i/>
        <sz val="11"/>
        <color theme="1"/>
        <rFont val="Arial"/>
        <family val="2"/>
      </rPr>
      <t>Historique</t>
    </r>
  </si>
  <si>
    <r>
      <t>·</t>
    </r>
    <r>
      <rPr>
        <sz val="7"/>
        <color theme="1"/>
        <rFont val="Arial"/>
        <family val="2"/>
      </rPr>
      <t xml:space="preserve">         </t>
    </r>
    <r>
      <rPr>
        <i/>
        <sz val="11"/>
        <color theme="1"/>
        <rFont val="Arial"/>
        <family val="2"/>
      </rPr>
      <t>Chiffre d’affaires prévisionnel ou réalisé en N-1</t>
    </r>
  </si>
  <si>
    <r>
      <t>·</t>
    </r>
    <r>
      <rPr>
        <b/>
        <sz val="7"/>
        <color theme="1"/>
        <rFont val="Arial"/>
        <family val="2"/>
      </rPr>
      <t xml:space="preserve">         </t>
    </r>
    <r>
      <rPr>
        <b/>
        <i/>
        <sz val="11"/>
        <color theme="1"/>
        <rFont val="Arial"/>
        <family val="2"/>
      </rPr>
      <t>Dirigeants</t>
    </r>
  </si>
  <si>
    <r>
      <t xml:space="preserve">·         </t>
    </r>
    <r>
      <rPr>
        <b/>
        <i/>
        <sz val="14"/>
        <color theme="1"/>
        <rFont val="Arial"/>
        <family val="2"/>
      </rPr>
      <t>Salariés permanents y compris CDI</t>
    </r>
  </si>
  <si>
    <r>
      <t>[1]</t>
    </r>
    <r>
      <rPr>
        <sz val="8"/>
        <color theme="1"/>
        <rFont val="Arial"/>
        <family val="2"/>
      </rPr>
      <t xml:space="preserve"> Indiquer (D) pour "déclaré" à la CNPS ou (ND) pour" non déclaré" à la CNPS.</t>
    </r>
  </si>
  <si>
    <r>
      <t xml:space="preserve">·         </t>
    </r>
    <r>
      <rPr>
        <b/>
        <i/>
        <sz val="14"/>
        <color theme="1"/>
        <rFont val="Arial"/>
        <family val="2"/>
      </rPr>
      <t>Personnels occasionnels (stagiaires etc.)</t>
    </r>
  </si>
  <si>
    <r>
      <t xml:space="preserve"> </t>
    </r>
    <r>
      <rPr>
        <i/>
        <sz val="8"/>
        <color theme="1"/>
        <rFont val="Arial"/>
        <family val="2"/>
      </rPr>
      <t>(Nombre de pièces affectées au CGA)</t>
    </r>
  </si>
  <si>
    <r>
      <t xml:space="preserve"> </t>
    </r>
    <r>
      <rPr>
        <i/>
        <sz val="8"/>
        <color theme="1"/>
        <rFont val="Arial"/>
        <family val="2"/>
      </rPr>
      <t>(Salles de formation)</t>
    </r>
  </si>
  <si>
    <r>
      <t xml:space="preserve">Autres               </t>
    </r>
    <r>
      <rPr>
        <i/>
        <sz val="8"/>
        <color theme="1"/>
        <rFont val="Arial"/>
        <family val="2"/>
      </rPr>
      <t>(à préciser)</t>
    </r>
  </si>
  <si>
    <r>
      <t>2</t>
    </r>
    <r>
      <rPr>
        <b/>
        <u/>
        <vertAlign val="superscript"/>
        <sz val="14"/>
        <color theme="1"/>
        <rFont val="Arial"/>
        <family val="2"/>
      </rPr>
      <t>ème</t>
    </r>
    <r>
      <rPr>
        <b/>
        <u/>
        <sz val="14"/>
        <color theme="1"/>
        <rFont val="Arial"/>
        <family val="2"/>
      </rPr>
      <t xml:space="preserve"> Partie : RAPPORT DE GESTION DES ADHERENTS DU CGA</t>
    </r>
  </si>
  <si>
    <r>
      <t>·</t>
    </r>
    <r>
      <rPr>
        <sz val="7"/>
        <color theme="1"/>
        <rFont val="Arial"/>
        <family val="2"/>
      </rPr>
      <t xml:space="preserve">         </t>
    </r>
    <r>
      <rPr>
        <i/>
        <sz val="11"/>
        <color theme="1"/>
        <rFont val="Arial"/>
        <family val="2"/>
      </rPr>
      <t>Nombre de formations exécutées</t>
    </r>
  </si>
  <si>
    <r>
      <t>·</t>
    </r>
    <r>
      <rPr>
        <sz val="7"/>
        <color theme="1"/>
        <rFont val="Arial"/>
        <family val="2"/>
      </rPr>
      <t xml:space="preserve">         </t>
    </r>
    <r>
      <rPr>
        <i/>
        <sz val="11"/>
        <color theme="1"/>
        <rFont val="Arial"/>
        <family val="2"/>
      </rPr>
      <t>Bénéficiaires</t>
    </r>
  </si>
  <si>
    <r>
      <t>·</t>
    </r>
    <r>
      <rPr>
        <sz val="7"/>
        <color theme="1"/>
        <rFont val="Arial"/>
        <family val="2"/>
      </rPr>
      <t xml:space="preserve">         </t>
    </r>
    <r>
      <rPr>
        <i/>
        <sz val="11"/>
        <color theme="1"/>
        <rFont val="Arial"/>
        <family val="2"/>
      </rPr>
      <t>Date /Lieu</t>
    </r>
  </si>
  <si>
    <r>
      <t>·</t>
    </r>
    <r>
      <rPr>
        <sz val="7"/>
        <color theme="1"/>
        <rFont val="Arial"/>
        <family val="2"/>
      </rPr>
      <t xml:space="preserve">         </t>
    </r>
    <r>
      <rPr>
        <i/>
        <sz val="11"/>
        <color theme="1"/>
        <rFont val="Arial"/>
        <family val="2"/>
      </rPr>
      <t>Thème (joindre le compte rendu)</t>
    </r>
  </si>
  <si>
    <r>
      <t>·</t>
    </r>
    <r>
      <rPr>
        <sz val="7"/>
        <color theme="1"/>
        <rFont val="Arial"/>
        <family val="2"/>
      </rPr>
      <t xml:space="preserve">         </t>
    </r>
  </si>
  <si>
    <t xml:space="preserve">·       </t>
  </si>
  <si>
    <r>
      <t>3</t>
    </r>
    <r>
      <rPr>
        <b/>
        <u/>
        <vertAlign val="superscript"/>
        <sz val="18"/>
        <color theme="1"/>
        <rFont val="Arial"/>
        <family val="2"/>
      </rPr>
      <t>ème</t>
    </r>
    <r>
      <rPr>
        <b/>
        <u/>
        <sz val="18"/>
        <color theme="1"/>
        <rFont val="Arial"/>
        <family val="2"/>
      </rPr>
      <t xml:space="preserve"> Partie : DIFFICULTES RENCONTREES ET SUGGESTIONS DU CGA</t>
    </r>
  </si>
  <si>
    <r>
      <t xml:space="preserve"> Locaux </t>
    </r>
    <r>
      <rPr>
        <i/>
        <sz val="10"/>
        <color theme="1"/>
        <rFont val="Arial"/>
        <family val="2"/>
      </rPr>
      <t>(Nombre de pièces )</t>
    </r>
  </si>
  <si>
    <r>
      <t xml:space="preserve"> </t>
    </r>
    <r>
      <rPr>
        <sz val="10"/>
        <color theme="1"/>
        <rFont val="Arial"/>
        <family val="2"/>
      </rPr>
      <t>Salles de formation</t>
    </r>
  </si>
  <si>
    <r>
      <t>·</t>
    </r>
    <r>
      <rPr>
        <b/>
        <sz val="7"/>
        <color theme="1"/>
        <rFont val="Arial"/>
        <family val="2"/>
      </rPr>
      <t xml:space="preserve">         </t>
    </r>
    <r>
      <rPr>
        <b/>
        <sz val="11"/>
        <color theme="1"/>
        <rFont val="Arial"/>
        <family val="2"/>
      </rPr>
      <t>Mairies</t>
    </r>
  </si>
  <si>
    <r>
      <t>·</t>
    </r>
    <r>
      <rPr>
        <b/>
        <sz val="7"/>
        <color theme="1"/>
        <rFont val="Arial"/>
        <family val="2"/>
      </rPr>
      <t xml:space="preserve">         </t>
    </r>
    <r>
      <rPr>
        <b/>
        <sz val="11"/>
        <color theme="1"/>
        <rFont val="Arial"/>
        <family val="2"/>
      </rPr>
      <t>CNCGA</t>
    </r>
  </si>
  <si>
    <r>
      <t>·</t>
    </r>
    <r>
      <rPr>
        <b/>
        <sz val="7"/>
        <color theme="1"/>
        <rFont val="Arial"/>
        <family val="2"/>
      </rPr>
      <t xml:space="preserve">        </t>
    </r>
    <r>
      <rPr>
        <b/>
        <sz val="11"/>
        <color theme="1"/>
        <rFont val="Arial"/>
        <family val="2"/>
      </rPr>
      <t>Confrères</t>
    </r>
  </si>
  <si>
    <r>
      <t>·</t>
    </r>
    <r>
      <rPr>
        <b/>
        <sz val="7"/>
        <color theme="1"/>
        <rFont val="Arial"/>
        <family val="2"/>
      </rPr>
      <t xml:space="preserve">         </t>
    </r>
    <r>
      <rPr>
        <b/>
        <sz val="11"/>
        <color theme="1"/>
        <rFont val="Arial"/>
        <family val="2"/>
      </rPr>
      <t>OECA-CI</t>
    </r>
  </si>
  <si>
    <r>
      <t>·</t>
    </r>
    <r>
      <rPr>
        <b/>
        <sz val="7"/>
        <color theme="1"/>
        <rFont val="Arial"/>
        <family val="2"/>
      </rPr>
      <t xml:space="preserve">         </t>
    </r>
    <r>
      <rPr>
        <b/>
        <sz val="11"/>
        <color theme="1"/>
        <rFont val="Arial"/>
        <family val="2"/>
      </rPr>
      <t>DGI</t>
    </r>
  </si>
  <si>
    <r>
      <t>ü</t>
    </r>
    <r>
      <rPr>
        <sz val="7"/>
        <color theme="1"/>
        <rFont val="Arial"/>
        <family val="2"/>
      </rPr>
      <t xml:space="preserve">  </t>
    </r>
    <r>
      <rPr>
        <sz val="11"/>
        <color theme="1"/>
        <rFont val="Arial"/>
        <family val="2"/>
      </rPr>
      <t>Agent des services de base</t>
    </r>
  </si>
  <si>
    <r>
      <t>ü</t>
    </r>
    <r>
      <rPr>
        <sz val="7"/>
        <color theme="1"/>
        <rFont val="Arial"/>
        <family val="2"/>
      </rPr>
      <t xml:space="preserve">  </t>
    </r>
    <r>
      <rPr>
        <sz val="11"/>
        <color theme="1"/>
        <rFont val="Arial"/>
        <family val="2"/>
      </rPr>
      <t>Correspondant fiscal (Chef SAID)</t>
    </r>
  </si>
  <si>
    <r>
      <t>ü</t>
    </r>
    <r>
      <rPr>
        <sz val="7"/>
        <color theme="1"/>
        <rFont val="Arial"/>
        <family val="2"/>
      </rPr>
      <t xml:space="preserve">  </t>
    </r>
    <r>
      <rPr>
        <sz val="11"/>
        <color theme="1"/>
        <rFont val="Arial"/>
        <family val="2"/>
      </rPr>
      <t>Directeur Régional</t>
    </r>
  </si>
  <si>
    <r>
      <t>ü</t>
    </r>
    <r>
      <rPr>
        <sz val="7"/>
        <color theme="1"/>
        <rFont val="Arial"/>
        <family val="2"/>
      </rPr>
      <t xml:space="preserve">  </t>
    </r>
    <r>
      <rPr>
        <sz val="11"/>
        <color theme="1"/>
        <rFont val="Arial"/>
        <family val="2"/>
      </rPr>
      <t>Autres (à préciser)</t>
    </r>
  </si>
  <si>
    <r>
      <t>4</t>
    </r>
    <r>
      <rPr>
        <b/>
        <u/>
        <vertAlign val="superscript"/>
        <sz val="14"/>
        <color theme="1"/>
        <rFont val="Arial"/>
        <family val="2"/>
      </rPr>
      <t>ème</t>
    </r>
    <r>
      <rPr>
        <b/>
        <u/>
        <sz val="14"/>
        <color theme="1"/>
        <rFont val="Arial"/>
        <family val="2"/>
      </rPr>
      <t xml:space="preserve"> Partie : RESULTATS DE GESTION DU CGA </t>
    </r>
    <r>
      <rPr>
        <b/>
        <i/>
        <u/>
        <sz val="12"/>
        <color theme="1"/>
        <rFont val="Arial"/>
        <family val="2"/>
      </rPr>
      <t>(cf. imprimés joints)</t>
    </r>
  </si>
  <si>
    <r>
      <t xml:space="preserve">I-1 </t>
    </r>
    <r>
      <rPr>
        <b/>
        <u/>
        <sz val="12"/>
        <color theme="1"/>
        <rFont val="Arial"/>
        <family val="2"/>
      </rPr>
      <t>ETAT DE SUIVI DES ADHERENTS A L'IMPOT TEE</t>
    </r>
  </si>
  <si>
    <t>I-2 ETAT DE SUIVI DES ADHERENTS AU REGIME DU RME</t>
  </si>
  <si>
    <t>FICHIER DES ADHERENTS A L'IMPOT TEE NOUVELLEMENT IMMATRICULES PAR LES SOINS DU CGA</t>
  </si>
  <si>
    <t>FICHIER DES ADHERENTS RME NOUVELLEMENT IMMATRICULES PAR LE SOIN DU CGA</t>
  </si>
  <si>
    <t xml:space="preserve">ETAT DES SURCLASSEMENTS DE LE TEE AU RME </t>
  </si>
  <si>
    <t>ETAT DES SURCLASSEMENTS DU RME AU RSI</t>
  </si>
  <si>
    <t>1- ADHERENTS AU REGIME DE L'IMPOT TEE</t>
  </si>
  <si>
    <t>2- ADHERENTS AU REGIME DU RME</t>
  </si>
  <si>
    <t>SITUATION DES ADHERENTS DONT LA COTISATION TEE A AUGMENTEE</t>
  </si>
  <si>
    <t>SITUATION DES ADHERENTS DONT LA COTISATION RME A AUGMENTEE</t>
  </si>
  <si>
    <t>TOTAL DES ADHERENTS TEE</t>
  </si>
  <si>
    <t>TOTAL DES ADHERENTS RME</t>
  </si>
  <si>
    <t>TOTAL DES RESILIES RME</t>
  </si>
  <si>
    <t>TOTAL DES RESILIES TEE</t>
  </si>
  <si>
    <t xml:space="preserve">   TOTAL DES NOUVEAUX ADHERENTS TEE</t>
  </si>
  <si>
    <t>TOTAL DES NOUVEAUX ADHERENTS RME</t>
  </si>
  <si>
    <t xml:space="preserve">   TOTAL DES COTISATIONS TEE</t>
  </si>
  <si>
    <t xml:space="preserve">   TOTAL DES COTISATIONS 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</si>
</sst>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\ _€_-;\-* #,##0\ _€_-;_-* &quot;-&quot;\ _€_-;_-@_-"/>
    <numFmt numFmtId="165" formatCode="_-* #,##0.00\ _€_-;\-* #,##0.00\ _€_-;_-* &quot;-&quot;??\ _€_-;_-@_-"/>
    <numFmt numFmtId="166" formatCode="_-* #,##0\ _€_-;\-* #,##0\ _€_-;_-* &quot;-&quot;??\ _€_-;_-@_-"/>
  </numFmts>
  <fonts count="5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u/>
      <sz val="14"/>
      <color theme="1"/>
      <name val="Arial"/>
      <family val="2"/>
    </font>
    <font>
      <sz val="12"/>
      <name val="Calibri"/>
      <family val="2"/>
      <scheme val="minor"/>
    </font>
    <font>
      <sz val="12"/>
      <name val="Arial"/>
      <family val="2"/>
    </font>
    <font>
      <b/>
      <sz val="24"/>
      <name val="Imprint MT Shadow"/>
      <family val="5"/>
    </font>
    <font>
      <b/>
      <sz val="28"/>
      <name val="Arial"/>
      <family val="2"/>
    </font>
    <font>
      <b/>
      <sz val="18"/>
      <name val="Imprint MT Shadow"/>
      <family val="5"/>
    </font>
    <font>
      <sz val="14"/>
      <color rgb="FF000000"/>
      <name val="Arial"/>
      <family val="2"/>
    </font>
    <font>
      <sz val="11"/>
      <color rgb="FF000000"/>
      <name val="Arial"/>
      <family val="2"/>
    </font>
    <font>
      <sz val="20"/>
      <color theme="1"/>
      <name val="Arial"/>
      <family val="2"/>
    </font>
    <font>
      <b/>
      <sz val="18"/>
      <color theme="1"/>
      <name val="Arial"/>
      <family val="2"/>
    </font>
    <font>
      <sz val="7"/>
      <color theme="1"/>
      <name val="Arial"/>
      <family val="2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4"/>
      <color theme="1"/>
      <name val="Arial"/>
      <family val="2"/>
    </font>
    <font>
      <b/>
      <i/>
      <sz val="14"/>
      <color theme="1"/>
      <name val="Arial"/>
      <family val="2"/>
    </font>
    <font>
      <vertAlign val="superscript"/>
      <sz val="8"/>
      <color theme="1"/>
      <name val="Arial"/>
      <family val="2"/>
    </font>
    <font>
      <i/>
      <sz val="8"/>
      <color theme="1"/>
      <name val="Arial"/>
      <family val="2"/>
    </font>
    <font>
      <b/>
      <u/>
      <vertAlign val="superscript"/>
      <sz val="14"/>
      <color theme="1"/>
      <name val="Arial"/>
      <family val="2"/>
    </font>
    <font>
      <b/>
      <u/>
      <sz val="18"/>
      <color theme="1"/>
      <name val="Arial"/>
      <family val="2"/>
    </font>
    <font>
      <b/>
      <u/>
      <vertAlign val="superscript"/>
      <sz val="18"/>
      <color theme="1"/>
      <name val="Arial"/>
      <family val="2"/>
    </font>
    <font>
      <b/>
      <u/>
      <sz val="11"/>
      <color theme="1"/>
      <name val="Arial"/>
      <family val="2"/>
    </font>
    <font>
      <i/>
      <sz val="10"/>
      <color theme="1"/>
      <name val="Arial"/>
      <family val="2"/>
    </font>
    <font>
      <b/>
      <i/>
      <u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CDD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0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165" fontId="29" fillId="0" borderId="0" applyFont="0" applyFill="0" applyBorder="0" applyAlignment="0" applyProtection="0"/>
    <xf numFmtId="0" fontId="23" fillId="0" borderId="0"/>
    <xf numFmtId="9" fontId="2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</cellStyleXfs>
  <cellXfs count="34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1" fillId="0" borderId="0" xfId="0" applyFont="1"/>
    <xf numFmtId="0" fontId="9" fillId="0" borderId="2" xfId="0" applyFont="1" applyBorder="1" applyAlignment="1">
      <alignment horizontal="justify" vertical="top" wrapText="1"/>
    </xf>
    <xf numFmtId="0" fontId="9" fillId="2" borderId="2" xfId="0" applyFont="1" applyFill="1" applyBorder="1" applyAlignment="1">
      <alignment horizontal="justify" vertical="top" wrapText="1"/>
    </xf>
    <xf numFmtId="0" fontId="18" fillId="0" borderId="0" xfId="0" applyFont="1"/>
    <xf numFmtId="0" fontId="0" fillId="0" borderId="2" xfId="0" applyBorder="1"/>
    <xf numFmtId="0" fontId="9" fillId="2" borderId="5" xfId="0" applyFont="1" applyFill="1" applyBorder="1" applyAlignment="1">
      <alignment vertical="top" wrapText="1"/>
    </xf>
    <xf numFmtId="0" fontId="15" fillId="2" borderId="2" xfId="0" applyFont="1" applyFill="1" applyBorder="1" applyAlignment="1">
      <alignment vertical="top" wrapText="1"/>
    </xf>
    <xf numFmtId="0" fontId="21" fillId="0" borderId="0" xfId="0" applyFont="1"/>
    <xf numFmtId="0" fontId="9" fillId="2" borderId="2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9" fillId="0" borderId="0" xfId="0" applyFont="1" applyAlignment="1">
      <alignment horizontal="justify" vertical="top" wrapText="1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justify"/>
    </xf>
    <xf numFmtId="0" fontId="25" fillId="0" borderId="0" xfId="0" applyFont="1" applyAlignment="1">
      <alignment horizontal="left" vertical="justify"/>
    </xf>
    <xf numFmtId="0" fontId="11" fillId="0" borderId="0" xfId="0" applyFont="1" applyAlignment="1">
      <alignment horizontal="justify" vertical="top" wrapText="1"/>
    </xf>
    <xf numFmtId="0" fontId="7" fillId="0" borderId="0" xfId="0" applyFont="1" applyAlignment="1">
      <alignment horizontal="center"/>
    </xf>
    <xf numFmtId="164" fontId="0" fillId="0" borderId="4" xfId="0" applyNumberForma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31" fillId="0" borderId="0" xfId="0" applyFont="1"/>
    <xf numFmtId="0" fontId="4" fillId="0" borderId="0" xfId="0" applyFont="1"/>
    <xf numFmtId="166" fontId="9" fillId="2" borderId="2" xfId="2" applyNumberFormat="1" applyFont="1" applyFill="1" applyBorder="1" applyAlignment="1">
      <alignment horizontal="justify" vertical="center" wrapText="1"/>
    </xf>
    <xf numFmtId="0" fontId="14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0" xfId="0" applyFont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0" fontId="12" fillId="3" borderId="13" xfId="0" applyFont="1" applyFill="1" applyBorder="1" applyAlignment="1">
      <alignment horizontal="justify" vertical="center" wrapText="1"/>
    </xf>
    <xf numFmtId="0" fontId="9" fillId="0" borderId="2" xfId="0" applyFont="1" applyBorder="1" applyAlignment="1">
      <alignment horizontal="center" vertical="center" wrapText="1"/>
    </xf>
    <xf numFmtId="10" fontId="9" fillId="2" borderId="2" xfId="2" applyNumberFormat="1" applyFont="1" applyFill="1" applyBorder="1" applyAlignment="1">
      <alignment horizontal="center" vertical="center" wrapText="1"/>
    </xf>
    <xf numFmtId="164" fontId="15" fillId="2" borderId="2" xfId="0" applyNumberFormat="1" applyFont="1" applyFill="1" applyBorder="1" applyAlignment="1">
      <alignment horizontal="justify" vertical="center" wrapText="1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left" vertical="top"/>
    </xf>
    <xf numFmtId="0" fontId="23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6" fontId="33" fillId="0" borderId="13" xfId="2" applyNumberFormat="1" applyFont="1" applyBorder="1" applyAlignment="1">
      <alignment horizontal="center" vertical="center" wrapText="1"/>
    </xf>
    <xf numFmtId="0" fontId="22" fillId="0" borderId="0" xfId="0" applyFont="1" applyAlignment="1">
      <alignment vertical="distributed"/>
    </xf>
    <xf numFmtId="0" fontId="33" fillId="0" borderId="4" xfId="0" applyFont="1" applyBorder="1" applyAlignment="1">
      <alignment horizontal="center" vertical="top" wrapText="1"/>
    </xf>
    <xf numFmtId="0" fontId="22" fillId="0" borderId="2" xfId="0" applyFont="1" applyBorder="1" applyAlignment="1">
      <alignment horizontal="center" vertical="distributed"/>
    </xf>
    <xf numFmtId="0" fontId="17" fillId="0" borderId="13" xfId="0" applyFont="1" applyBorder="1" applyAlignment="1">
      <alignment vertical="top" wrapText="1"/>
    </xf>
    <xf numFmtId="166" fontId="9" fillId="0" borderId="2" xfId="2" applyNumberFormat="1" applyFont="1" applyFill="1" applyBorder="1" applyAlignment="1">
      <alignment vertical="center" wrapText="1"/>
    </xf>
    <xf numFmtId="166" fontId="9" fillId="0" borderId="2" xfId="2" applyNumberFormat="1" applyFont="1" applyFill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center" vertical="top" wrapText="1"/>
    </xf>
    <xf numFmtId="0" fontId="35" fillId="0" borderId="2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 wrapText="1"/>
    </xf>
    <xf numFmtId="164" fontId="34" fillId="0" borderId="2" xfId="0" applyNumberFormat="1" applyFont="1" applyBorder="1" applyAlignment="1">
      <alignment vertical="center" wrapText="1"/>
    </xf>
    <xf numFmtId="164" fontId="34" fillId="0" borderId="2" xfId="0" applyNumberFormat="1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 wrapText="1"/>
    </xf>
    <xf numFmtId="164" fontId="22" fillId="0" borderId="2" xfId="0" applyNumberFormat="1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66" fontId="9" fillId="2" borderId="2" xfId="2" applyNumberFormat="1" applyFont="1" applyFill="1" applyBorder="1" applyAlignment="1">
      <alignment horizontal="center" vertical="center" wrapText="1"/>
    </xf>
    <xf numFmtId="166" fontId="38" fillId="0" borderId="2" xfId="2" applyNumberFormat="1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/>
    </xf>
    <xf numFmtId="0" fontId="23" fillId="4" borderId="2" xfId="5" applyFill="1" applyBorder="1" applyAlignment="1">
      <alignment vertical="center" wrapText="1"/>
    </xf>
    <xf numFmtId="166" fontId="15" fillId="0" borderId="2" xfId="2" applyNumberFormat="1" applyFont="1" applyFill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6" fontId="9" fillId="0" borderId="2" xfId="2" applyNumberFormat="1" applyFont="1" applyFill="1" applyBorder="1" applyAlignment="1">
      <alignment horizontal="justify" vertical="center" wrapText="1"/>
    </xf>
    <xf numFmtId="166" fontId="30" fillId="0" borderId="2" xfId="2" applyNumberFormat="1" applyFont="1" applyFill="1" applyBorder="1" applyAlignment="1">
      <alignment vertic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/>
    <xf numFmtId="0" fontId="6" fillId="0" borderId="2" xfId="0" applyFont="1" applyBorder="1" applyAlignment="1">
      <alignment horizontal="center" vertical="center"/>
    </xf>
    <xf numFmtId="0" fontId="1" fillId="0" borderId="2" xfId="0" applyFont="1" applyBorder="1"/>
    <xf numFmtId="14" fontId="34" fillId="0" borderId="2" xfId="0" applyNumberFormat="1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 wrapText="1"/>
    </xf>
    <xf numFmtId="14" fontId="28" fillId="0" borderId="7" xfId="0" applyNumberFormat="1" applyFont="1" applyBorder="1" applyAlignment="1">
      <alignment horizontal="center" vertical="center" wrapText="1"/>
    </xf>
    <xf numFmtId="164" fontId="28" fillId="0" borderId="7" xfId="0" applyNumberFormat="1" applyFont="1" applyBorder="1" applyAlignment="1">
      <alignment horizontal="center" vertical="center"/>
    </xf>
    <xf numFmtId="166" fontId="30" fillId="0" borderId="2" xfId="2" applyNumberFormat="1" applyFont="1" applyFill="1" applyBorder="1" applyAlignment="1">
      <alignment horizontal="justify" vertical="center" wrapText="1"/>
    </xf>
    <xf numFmtId="166" fontId="28" fillId="0" borderId="7" xfId="2" applyNumberFormat="1" applyFont="1" applyFill="1" applyBorder="1" applyAlignment="1">
      <alignment horizontal="center" vertical="center"/>
    </xf>
    <xf numFmtId="166" fontId="30" fillId="0" borderId="2" xfId="2" applyNumberFormat="1" applyFont="1" applyFill="1" applyBorder="1" applyAlignment="1">
      <alignment horizontal="left" vertical="center"/>
    </xf>
    <xf numFmtId="9" fontId="30" fillId="0" borderId="13" xfId="2" applyNumberFormat="1" applyFont="1" applyFill="1" applyBorder="1" applyAlignment="1">
      <alignment horizontal="center" vertical="center"/>
    </xf>
    <xf numFmtId="166" fontId="30" fillId="0" borderId="2" xfId="2" applyNumberFormat="1" applyFont="1" applyFill="1" applyBorder="1" applyAlignment="1">
      <alignment vertical="center" wrapText="1"/>
    </xf>
    <xf numFmtId="166" fontId="30" fillId="0" borderId="2" xfId="2" applyNumberFormat="1" applyFont="1" applyFill="1" applyBorder="1" applyAlignment="1">
      <alignment horizontal="left" vertical="center" wrapText="1"/>
    </xf>
    <xf numFmtId="166" fontId="30" fillId="0" borderId="2" xfId="2" applyNumberFormat="1" applyFont="1" applyFill="1" applyBorder="1" applyAlignment="1">
      <alignment horizontal="center" vertical="center" wrapText="1"/>
    </xf>
    <xf numFmtId="9" fontId="30" fillId="0" borderId="2" xfId="2" applyNumberFormat="1" applyFont="1" applyFill="1" applyBorder="1" applyAlignment="1">
      <alignment horizontal="center" vertical="center" wrapText="1"/>
    </xf>
    <xf numFmtId="0" fontId="28" fillId="0" borderId="0" xfId="0" applyFont="1"/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/>
    </xf>
    <xf numFmtId="166" fontId="0" fillId="0" borderId="7" xfId="2" applyNumberFormat="1" applyFont="1" applyFill="1" applyBorder="1" applyAlignment="1">
      <alignment horizontal="center" vertical="center"/>
    </xf>
    <xf numFmtId="166" fontId="9" fillId="0" borderId="2" xfId="2" applyNumberFormat="1" applyFont="1" applyFill="1" applyBorder="1" applyAlignment="1">
      <alignment horizontal="center" vertical="center"/>
    </xf>
    <xf numFmtId="9" fontId="9" fillId="0" borderId="13" xfId="2" applyNumberFormat="1" applyFont="1" applyFill="1" applyBorder="1" applyAlignment="1">
      <alignment horizontal="center" vertical="center"/>
    </xf>
    <xf numFmtId="9" fontId="9" fillId="0" borderId="2" xfId="2" applyNumberFormat="1" applyFont="1" applyFill="1" applyBorder="1" applyAlignment="1">
      <alignment horizontal="center" vertical="center" wrapText="1"/>
    </xf>
    <xf numFmtId="0" fontId="23" fillId="0" borderId="2" xfId="0" applyFont="1" applyBorder="1" applyAlignment="1">
      <alignment vertical="center" wrapText="1"/>
    </xf>
    <xf numFmtId="0" fontId="2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/>
    </xf>
    <xf numFmtId="14" fontId="0" fillId="0" borderId="4" xfId="0" applyNumberFormat="1" applyBorder="1" applyAlignment="1">
      <alignment horizontal="center" vertical="center" wrapText="1"/>
    </xf>
    <xf numFmtId="166" fontId="9" fillId="0" borderId="2" xfId="2" applyNumberFormat="1" applyFont="1" applyFill="1" applyBorder="1" applyAlignment="1">
      <alignment horizontal="justify" vertical="top" wrapText="1"/>
    </xf>
    <xf numFmtId="0" fontId="28" fillId="0" borderId="4" xfId="0" applyFont="1" applyBorder="1" applyAlignment="1">
      <alignment horizontal="left" vertical="center" wrapText="1"/>
    </xf>
    <xf numFmtId="166" fontId="9" fillId="0" borderId="2" xfId="2" applyNumberFormat="1" applyFont="1" applyFill="1" applyBorder="1" applyAlignment="1">
      <alignment horizontal="left" vertical="center"/>
    </xf>
    <xf numFmtId="0" fontId="23" fillId="0" borderId="4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166" fontId="9" fillId="0" borderId="2" xfId="2" applyNumberFormat="1" applyFont="1" applyFill="1" applyBorder="1" applyAlignment="1">
      <alignment horizontal="left" vertical="center" wrapText="1"/>
    </xf>
    <xf numFmtId="14" fontId="27" fillId="0" borderId="4" xfId="0" applyNumberFormat="1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166" fontId="0" fillId="0" borderId="2" xfId="2" applyNumberFormat="1" applyFont="1" applyFill="1" applyBorder="1" applyAlignment="1">
      <alignment horizontal="center" vertical="center"/>
    </xf>
    <xf numFmtId="166" fontId="0" fillId="0" borderId="2" xfId="2" applyNumberFormat="1" applyFont="1" applyFill="1" applyBorder="1" applyAlignment="1">
      <alignment horizontal="left" vertical="center"/>
    </xf>
    <xf numFmtId="0" fontId="27" fillId="0" borderId="2" xfId="0" applyFon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23" fillId="0" borderId="2" xfId="0" applyFont="1" applyBorder="1" applyAlignment="1">
      <alignment wrapText="1"/>
    </xf>
    <xf numFmtId="0" fontId="28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166" fontId="0" fillId="0" borderId="0" xfId="2" applyNumberFormat="1" applyFont="1" applyFill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 wrapText="1"/>
    </xf>
    <xf numFmtId="0" fontId="37" fillId="0" borderId="7" xfId="0" applyFont="1" applyBorder="1" applyAlignment="1">
      <alignment horizontal="center" vertical="center" wrapText="1"/>
    </xf>
    <xf numFmtId="14" fontId="34" fillId="0" borderId="7" xfId="0" applyNumberFormat="1" applyFont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center" wrapText="1"/>
    </xf>
    <xf numFmtId="164" fontId="35" fillId="0" borderId="2" xfId="0" applyNumberFormat="1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 wrapText="1"/>
    </xf>
    <xf numFmtId="14" fontId="35" fillId="0" borderId="4" xfId="0" applyNumberFormat="1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164" fontId="34" fillId="0" borderId="4" xfId="0" applyNumberFormat="1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14" fontId="34" fillId="0" borderId="4" xfId="0" applyNumberFormat="1" applyFont="1" applyBorder="1" applyAlignment="1">
      <alignment horizontal="center" vertical="center" wrapText="1"/>
    </xf>
    <xf numFmtId="164" fontId="34" fillId="0" borderId="2" xfId="0" applyNumberFormat="1" applyFont="1" applyBorder="1" applyAlignment="1">
      <alignment horizontal="center" vertical="center"/>
    </xf>
    <xf numFmtId="164" fontId="34" fillId="0" borderId="4" xfId="0" applyNumberFormat="1" applyFont="1" applyBorder="1" applyAlignment="1">
      <alignment horizontal="justify" vertical="center" wrapText="1"/>
    </xf>
    <xf numFmtId="0" fontId="34" fillId="0" borderId="2" xfId="0" applyFont="1" applyBorder="1" applyAlignment="1">
      <alignment vertical="center" wrapText="1"/>
    </xf>
    <xf numFmtId="164" fontId="38" fillId="0" borderId="2" xfId="0" applyNumberFormat="1" applyFont="1" applyBorder="1" applyAlignment="1">
      <alignment horizontal="left" vertical="center"/>
    </xf>
    <xf numFmtId="14" fontId="32" fillId="0" borderId="2" xfId="0" applyNumberFormat="1" applyFont="1" applyBorder="1" applyAlignment="1">
      <alignment horizontal="center" vertical="center" wrapText="1"/>
    </xf>
    <xf numFmtId="164" fontId="32" fillId="0" borderId="2" xfId="0" applyNumberFormat="1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 wrapText="1"/>
    </xf>
    <xf numFmtId="166" fontId="9" fillId="0" borderId="0" xfId="2" applyNumberFormat="1" applyFont="1" applyFill="1" applyBorder="1" applyAlignment="1">
      <alignment horizontal="justify" vertical="top" wrapText="1"/>
    </xf>
    <xf numFmtId="166" fontId="9" fillId="0" borderId="0" xfId="2" applyNumberFormat="1" applyFont="1" applyFill="1" applyBorder="1" applyAlignment="1">
      <alignment horizontal="justify" vertical="center" wrapText="1"/>
    </xf>
    <xf numFmtId="9" fontId="9" fillId="0" borderId="0" xfId="2" applyNumberFormat="1" applyFont="1" applyFill="1" applyBorder="1" applyAlignment="1">
      <alignment horizontal="center" vertical="center"/>
    </xf>
    <xf numFmtId="166" fontId="9" fillId="0" borderId="0" xfId="2" applyNumberFormat="1" applyFont="1" applyFill="1" applyBorder="1" applyAlignment="1">
      <alignment horizontal="center" vertical="center" wrapText="1"/>
    </xf>
    <xf numFmtId="9" fontId="9" fillId="0" borderId="0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7" fillId="0" borderId="7" xfId="0" applyFont="1" applyBorder="1" applyAlignment="1">
      <alignment horizontal="left" vertical="center" wrapText="1"/>
    </xf>
    <xf numFmtId="0" fontId="37" fillId="0" borderId="7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 wrapText="1"/>
    </xf>
    <xf numFmtId="14" fontId="37" fillId="0" borderId="7" xfId="0" applyNumberFormat="1" applyFont="1" applyBorder="1" applyAlignment="1">
      <alignment horizontal="center" vertical="center" wrapText="1"/>
    </xf>
    <xf numFmtId="164" fontId="37" fillId="0" borderId="7" xfId="0" applyNumberFormat="1" applyFont="1" applyBorder="1" applyAlignment="1">
      <alignment horizontal="center" vertical="center"/>
    </xf>
    <xf numFmtId="9" fontId="9" fillId="0" borderId="2" xfId="4" applyFont="1" applyFill="1" applyBorder="1" applyAlignment="1">
      <alignment horizontal="center" vertical="center" wrapText="1"/>
    </xf>
    <xf numFmtId="166" fontId="38" fillId="0" borderId="2" xfId="2" applyNumberFormat="1" applyFont="1" applyFill="1" applyBorder="1" applyAlignment="1">
      <alignment horizontal="left" vertical="center"/>
    </xf>
    <xf numFmtId="0" fontId="32" fillId="0" borderId="4" xfId="0" applyFont="1" applyBorder="1" applyAlignment="1">
      <alignment horizontal="left" vertical="center" wrapText="1"/>
    </xf>
    <xf numFmtId="14" fontId="32" fillId="0" borderId="4" xfId="0" applyNumberFormat="1" applyFont="1" applyBorder="1" applyAlignment="1">
      <alignment horizontal="center" vertical="center" wrapText="1"/>
    </xf>
    <xf numFmtId="166" fontId="33" fillId="0" borderId="2" xfId="2" applyNumberFormat="1" applyFont="1" applyFill="1" applyBorder="1" applyAlignment="1">
      <alignment horizontal="left" vertical="center" wrapText="1"/>
    </xf>
    <xf numFmtId="166" fontId="33" fillId="2" borderId="2" xfId="2" applyNumberFormat="1" applyFont="1" applyFill="1" applyBorder="1" applyAlignment="1">
      <alignment horizontal="justify" vertical="center"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1" xfId="0" applyBorder="1" applyAlignment="1">
      <alignment vertical="center"/>
    </xf>
    <xf numFmtId="0" fontId="0" fillId="0" borderId="0" xfId="0" applyAlignment="1">
      <alignment vertical="center"/>
    </xf>
    <xf numFmtId="0" fontId="40" fillId="0" borderId="0" xfId="0" applyFont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1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164" fontId="34" fillId="3" borderId="2" xfId="0" applyNumberFormat="1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4" xfId="0" applyFont="1" applyBorder="1" applyAlignment="1">
      <alignment vertical="center" wrapText="1"/>
    </xf>
    <xf numFmtId="0" fontId="9" fillId="0" borderId="2" xfId="0" applyFont="1" applyBorder="1" applyAlignment="1">
      <alignment horizontal="justify" vertical="center" wrapText="1"/>
    </xf>
    <xf numFmtId="0" fontId="9" fillId="2" borderId="2" xfId="0" applyFont="1" applyFill="1" applyBorder="1" applyAlignment="1">
      <alignment horizontal="justify" vertical="center" wrapText="1"/>
    </xf>
    <xf numFmtId="0" fontId="9" fillId="2" borderId="5" xfId="0" applyFont="1" applyFill="1" applyBorder="1" applyAlignment="1">
      <alignment vertical="center" wrapText="1"/>
    </xf>
    <xf numFmtId="0" fontId="17" fillId="0" borderId="2" xfId="0" applyFont="1" applyBorder="1" applyAlignment="1">
      <alignment horizontal="center" wrapText="1"/>
    </xf>
    <xf numFmtId="0" fontId="17" fillId="0" borderId="9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32" fillId="0" borderId="2" xfId="0" applyFont="1" applyBorder="1" applyAlignment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7" fillId="0" borderId="4" xfId="0" applyFont="1" applyBorder="1" applyAlignment="1">
      <alignment horizontal="left" vertical="center"/>
    </xf>
    <xf numFmtId="0" fontId="32" fillId="0" borderId="7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9" fillId="0" borderId="0" xfId="0" applyFont="1"/>
    <xf numFmtId="0" fontId="42" fillId="0" borderId="0" xfId="0" applyFont="1"/>
    <xf numFmtId="0" fontId="43" fillId="0" borderId="0" xfId="0" applyFont="1" applyAlignment="1">
      <alignment horizontal="left"/>
    </xf>
    <xf numFmtId="0" fontId="43" fillId="0" borderId="0" xfId="0" applyFont="1"/>
    <xf numFmtId="0" fontId="10" fillId="0" borderId="0" xfId="0" applyFont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33" fillId="0" borderId="2" xfId="0" applyFont="1" applyBorder="1" applyAlignment="1">
      <alignment horizontal="justify" vertical="center" wrapText="1"/>
    </xf>
    <xf numFmtId="0" fontId="9" fillId="0" borderId="2" xfId="0" applyFont="1" applyBorder="1" applyAlignment="1">
      <alignment horizontal="left" vertical="center" wrapText="1"/>
    </xf>
    <xf numFmtId="14" fontId="9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49" fillId="0" borderId="0" xfId="0" applyFont="1"/>
    <xf numFmtId="0" fontId="33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justify" vertical="center" wrapText="1"/>
    </xf>
    <xf numFmtId="14" fontId="33" fillId="0" borderId="2" xfId="0" applyNumberFormat="1" applyFont="1" applyBorder="1" applyAlignment="1">
      <alignment horizontal="center" vertical="center" wrapText="1"/>
    </xf>
    <xf numFmtId="0" fontId="33" fillId="0" borderId="2" xfId="0" applyFont="1" applyBorder="1" applyAlignment="1">
      <alignment vertical="top" wrapText="1"/>
    </xf>
    <xf numFmtId="0" fontId="33" fillId="0" borderId="2" xfId="0" applyFont="1" applyBorder="1" applyAlignment="1">
      <alignment horizontal="justify" vertical="top" wrapText="1"/>
    </xf>
    <xf numFmtId="0" fontId="33" fillId="0" borderId="0" xfId="0" applyFont="1"/>
    <xf numFmtId="0" fontId="51" fillId="0" borderId="3" xfId="0" applyFont="1" applyBorder="1"/>
    <xf numFmtId="0" fontId="33" fillId="0" borderId="3" xfId="0" applyFont="1" applyBorder="1"/>
    <xf numFmtId="0" fontId="9" fillId="0" borderId="3" xfId="0" applyFont="1" applyBorder="1"/>
    <xf numFmtId="0" fontId="51" fillId="0" borderId="0" xfId="0" applyFont="1"/>
    <xf numFmtId="0" fontId="16" fillId="0" borderId="2" xfId="0" applyFont="1" applyBorder="1" applyAlignment="1">
      <alignment horizontal="center" vertical="center" wrapText="1"/>
    </xf>
    <xf numFmtId="15" fontId="9" fillId="0" borderId="2" xfId="0" applyNumberFormat="1" applyFont="1" applyBorder="1" applyAlignment="1">
      <alignment horizontal="justify" vertical="center" wrapText="1"/>
    </xf>
    <xf numFmtId="0" fontId="9" fillId="0" borderId="2" xfId="0" applyFont="1" applyBorder="1" applyAlignment="1">
      <alignment horizontal="center"/>
    </xf>
    <xf numFmtId="0" fontId="49" fillId="0" borderId="0" xfId="0" applyFont="1" applyAlignment="1">
      <alignment horizontal="left"/>
    </xf>
    <xf numFmtId="0" fontId="10" fillId="0" borderId="2" xfId="0" applyFont="1" applyBorder="1" applyAlignment="1">
      <alignment horizontal="center" vertical="top" wrapText="1"/>
    </xf>
    <xf numFmtId="0" fontId="18" fillId="0" borderId="6" xfId="0" applyFont="1" applyBorder="1" applyAlignment="1">
      <alignment vertical="top" wrapText="1"/>
    </xf>
    <xf numFmtId="0" fontId="9" fillId="0" borderId="6" xfId="0" applyFont="1" applyBorder="1"/>
    <xf numFmtId="0" fontId="9" fillId="0" borderId="2" xfId="0" applyFont="1" applyBorder="1" applyAlignment="1">
      <alignment horizontal="center" vertical="center"/>
    </xf>
    <xf numFmtId="0" fontId="36" fillId="0" borderId="0" xfId="0" applyFont="1" applyAlignment="1">
      <alignment horizontal="left"/>
    </xf>
    <xf numFmtId="0" fontId="10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horizontal="left"/>
    </xf>
    <xf numFmtId="0" fontId="56" fillId="0" borderId="0" xfId="0" applyFont="1" applyAlignment="1">
      <alignment horizontal="left"/>
    </xf>
    <xf numFmtId="0" fontId="10" fillId="0" borderId="1" xfId="0" applyFont="1" applyBorder="1" applyAlignment="1">
      <alignment horizontal="left"/>
    </xf>
    <xf numFmtId="0" fontId="28" fillId="0" borderId="2" xfId="0" applyFont="1" applyBorder="1" applyAlignment="1">
      <alignment vertical="center" wrapText="1"/>
    </xf>
    <xf numFmtId="0" fontId="28" fillId="0" borderId="6" xfId="0" applyFont="1" applyBorder="1" applyAlignment="1">
      <alignment horizontal="left" vertical="center" wrapText="1"/>
    </xf>
    <xf numFmtId="0" fontId="39" fillId="0" borderId="23" xfId="0" applyFont="1" applyBorder="1" applyAlignment="1">
      <alignment horizontal="center" vertical="center"/>
    </xf>
    <xf numFmtId="0" fontId="39" fillId="0" borderId="24" xfId="0" applyFont="1" applyBorder="1" applyAlignment="1">
      <alignment horizontal="center" vertical="center"/>
    </xf>
    <xf numFmtId="0" fontId="39" fillId="0" borderId="25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39" fillId="0" borderId="28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/>
    </xf>
    <xf numFmtId="0" fontId="39" fillId="0" borderId="30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15" fontId="10" fillId="0" borderId="0" xfId="0" applyNumberFormat="1" applyFont="1" applyAlignment="1">
      <alignment horizontal="left"/>
    </xf>
    <xf numFmtId="0" fontId="36" fillId="0" borderId="0" xfId="0" applyFont="1" applyAlignment="1">
      <alignment horizontal="center"/>
    </xf>
    <xf numFmtId="0" fontId="17" fillId="0" borderId="2" xfId="0" applyFont="1" applyBorder="1" applyAlignment="1">
      <alignment horizontal="center" vertical="center" wrapText="1"/>
    </xf>
    <xf numFmtId="0" fontId="45" fillId="0" borderId="0" xfId="0" applyFont="1" applyAlignment="1">
      <alignment horizontal="center"/>
    </xf>
    <xf numFmtId="0" fontId="16" fillId="0" borderId="2" xfId="0" applyFont="1" applyBorder="1" applyAlignment="1">
      <alignment horizontal="center" vertical="center" wrapText="1"/>
    </xf>
    <xf numFmtId="0" fontId="30" fillId="0" borderId="2" xfId="1" applyFont="1" applyBorder="1" applyAlignment="1" applyProtection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justify"/>
    </xf>
    <xf numFmtId="0" fontId="9" fillId="0" borderId="5" xfId="0" applyFont="1" applyBorder="1" applyAlignment="1">
      <alignment horizontal="center" vertical="justify"/>
    </xf>
    <xf numFmtId="0" fontId="9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top" wrapText="1"/>
    </xf>
    <xf numFmtId="0" fontId="18" fillId="0" borderId="2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54" fillId="0" borderId="0" xfId="0" applyFont="1" applyAlignment="1">
      <alignment horizontal="center"/>
    </xf>
    <xf numFmtId="0" fontId="1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top" wrapText="1"/>
    </xf>
    <xf numFmtId="0" fontId="10" fillId="2" borderId="4" xfId="0" applyFont="1" applyFill="1" applyBorder="1" applyAlignment="1">
      <alignment horizontal="center" vertical="top" wrapText="1"/>
    </xf>
    <xf numFmtId="0" fontId="10" fillId="2" borderId="14" xfId="0" applyFont="1" applyFill="1" applyBorder="1" applyAlignment="1">
      <alignment horizontal="center" vertical="top" wrapText="1"/>
    </xf>
    <xf numFmtId="0" fontId="10" fillId="2" borderId="5" xfId="0" applyFont="1" applyFill="1" applyBorder="1" applyAlignment="1">
      <alignment horizontal="center" vertical="top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top" wrapText="1"/>
    </xf>
    <xf numFmtId="0" fontId="17" fillId="0" borderId="12" xfId="0" applyFont="1" applyBorder="1" applyAlignment="1">
      <alignment horizontal="center" vertical="top" wrapText="1"/>
    </xf>
    <xf numFmtId="0" fontId="17" fillId="0" borderId="13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top" wrapText="1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7" fillId="0" borderId="7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166" fontId="0" fillId="0" borderId="2" xfId="2" applyNumberFormat="1" applyFont="1" applyBorder="1" applyAlignment="1">
      <alignment horizontal="center" vertical="center"/>
    </xf>
    <xf numFmtId="166" fontId="6" fillId="0" borderId="2" xfId="2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7" fillId="0" borderId="15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1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20">
    <cellStyle name="Lien hypertexte" xfId="1" builtinId="8"/>
    <cellStyle name="Milliers" xfId="2" builtinId="3"/>
    <cellStyle name="Normal" xfId="0" builtinId="0"/>
    <cellStyle name="Normal 2" xfId="3" xr:uid="{00000000-0005-0000-0000-000003000000}"/>
    <cellStyle name="Normal 2 10" xfId="6" xr:uid="{00000000-0005-0000-0000-000004000000}"/>
    <cellStyle name="Normal 2 11" xfId="7" xr:uid="{00000000-0005-0000-0000-000005000000}"/>
    <cellStyle name="Normal 2 12" xfId="8" xr:uid="{00000000-0005-0000-0000-000006000000}"/>
    <cellStyle name="Normal 2 13" xfId="5" xr:uid="{00000000-0005-0000-0000-000007000000}"/>
    <cellStyle name="Normal 2 2" xfId="9" xr:uid="{00000000-0005-0000-0000-000008000000}"/>
    <cellStyle name="Normal 2 3" xfId="10" xr:uid="{00000000-0005-0000-0000-000009000000}"/>
    <cellStyle name="Normal 2 4" xfId="11" xr:uid="{00000000-0005-0000-0000-00000A000000}"/>
    <cellStyle name="Normal 2 5" xfId="12" xr:uid="{00000000-0005-0000-0000-00000B000000}"/>
    <cellStyle name="Normal 2 6" xfId="13" xr:uid="{00000000-0005-0000-0000-00000C000000}"/>
    <cellStyle name="Normal 2 7" xfId="14" xr:uid="{00000000-0005-0000-0000-00000D000000}"/>
    <cellStyle name="Normal 2 8" xfId="15" xr:uid="{00000000-0005-0000-0000-00000E000000}"/>
    <cellStyle name="Normal 2 9" xfId="16" xr:uid="{00000000-0005-0000-0000-00000F000000}"/>
    <cellStyle name="Normal 7" xfId="17" xr:uid="{00000000-0005-0000-0000-000010000000}"/>
    <cellStyle name="Normal 7 2" xfId="18" xr:uid="{00000000-0005-0000-0000-000011000000}"/>
    <cellStyle name="Normal 7 3" xfId="19" xr:uid="{00000000-0005-0000-0000-000012000000}"/>
    <cellStyle name="Pourcentage" xfId="4" builtinId="5"/>
  </cellStyles>
  <dxfs count="0"/>
  <tableStyles count="0" defaultTableStyle="TableStyleMedium9" defaultPivotStyle="PivotStyleLight16"/>
  <colors>
    <mruColors>
      <color rgb="FFCCFF99"/>
      <color rgb="FFCCFFFF"/>
      <color rgb="FF66FF99"/>
      <color rgb="FF99FF99"/>
      <color rgb="FF99FFCC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9526</xdr:rowOff>
    </xdr:from>
    <xdr:to>
      <xdr:col>9</xdr:col>
      <xdr:colOff>752475</xdr:colOff>
      <xdr:row>15</xdr:row>
      <xdr:rowOff>227256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1525" y="1143001"/>
          <a:ext cx="6838950" cy="273233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3600" b="1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Imprint MT Shadow"/>
            </a:rPr>
            <a:t>RAPPORT  D'ACTIVITE</a:t>
          </a:r>
        </a:p>
        <a:p>
          <a:pPr algn="ctr" rtl="0"/>
          <a:r>
            <a:rPr lang="fr-FR" sz="3600" b="1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Imprint MT Shadow"/>
            </a:rPr>
            <a:t>CGA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224</xdr:row>
      <xdr:rowOff>123825</xdr:rowOff>
    </xdr:from>
    <xdr:to>
      <xdr:col>4</xdr:col>
      <xdr:colOff>555498</xdr:colOff>
      <xdr:row>228</xdr:row>
      <xdr:rowOff>57150</xdr:rowOff>
    </xdr:to>
    <xdr:sp macro="" textlink="">
      <xdr:nvSpPr>
        <xdr:cNvPr id="2" name="Accolade fermant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428875" y="70218300"/>
          <a:ext cx="174498" cy="695325"/>
        </a:xfrm>
        <a:prstGeom prst="rightBrace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19050</xdr:rowOff>
    </xdr:from>
    <xdr:ext cx="2390775" cy="122334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19050"/>
          <a:ext cx="2390775" cy="1223348"/>
        </a:xfrm>
        <a:prstGeom prst="rect">
          <a:avLst/>
        </a:prstGeom>
        <a:noFill/>
        <a:ln w="0">
          <a:solidFill>
            <a:schemeClr val="tx1"/>
          </a:solidFill>
        </a:ln>
      </xdr:spPr>
      <xdr:txBody>
        <a:bodyPr wrap="square" lIns="91440" tIns="45720" rIns="91440" bIns="45720">
          <a:spAutoFit/>
        </a:bodyPr>
        <a:lstStyle/>
        <a:p>
          <a:pPr algn="l"/>
          <a:r>
            <a:rPr lang="fr-FR" sz="2800" b="1" i="0" cap="none" spc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latin typeface="Imprint MT Shadow" pitchFamily="82" charset="0"/>
            </a:rPr>
            <a:t>Cga</a:t>
          </a:r>
        </a:p>
        <a:p>
          <a:pPr algn="l"/>
          <a:endParaRPr lang="fr-FR" sz="1200" b="0" i="0" cap="none" spc="0">
            <a:ln>
              <a:noFill/>
            </a:ln>
            <a:solidFill>
              <a:schemeClr val="tx1"/>
            </a:solidFill>
            <a:effectLst/>
            <a:latin typeface="Times New Roman" pitchFamily="18" charset="0"/>
            <a:cs typeface="Times New Roman" pitchFamily="18" charset="0"/>
          </a:endParaRPr>
        </a:p>
        <a:p>
          <a:pPr algn="l"/>
          <a:r>
            <a:rPr lang="fr-FR" sz="1200" b="0" i="0" cap="none" spc="0">
              <a:ln>
                <a:noFill/>
              </a:ln>
              <a:solidFill>
                <a:schemeClr val="tx1"/>
              </a:solidFill>
              <a:effectLst/>
              <a:latin typeface="Times New Roman" pitchFamily="18" charset="0"/>
              <a:cs typeface="Times New Roman" pitchFamily="18" charset="0"/>
            </a:rPr>
            <a:t>CC: </a:t>
          </a:r>
        </a:p>
        <a:p>
          <a:pPr algn="l"/>
          <a:r>
            <a:rPr lang="fr-FR" sz="1200" b="0" i="0" cap="none" spc="0" baseline="0">
              <a:ln>
                <a:noFill/>
              </a:ln>
              <a:solidFill>
                <a:schemeClr val="tx1"/>
              </a:solidFill>
              <a:effectLst/>
              <a:latin typeface="Times New Roman" pitchFamily="18" charset="0"/>
              <a:cs typeface="Times New Roman" pitchFamily="18" charset="0"/>
            </a:rPr>
            <a:t> Régime d'imposition:</a:t>
          </a:r>
        </a:p>
        <a:p>
          <a:pPr algn="l"/>
          <a:r>
            <a:rPr lang="fr-FR" sz="1200" b="0" i="0" cap="none" spc="0">
              <a:ln>
                <a:noFill/>
              </a:ln>
              <a:solidFill>
                <a:schemeClr val="tx1"/>
              </a:solidFill>
              <a:effectLst/>
              <a:latin typeface="Times New Roman" pitchFamily="18" charset="0"/>
              <a:cs typeface="Times New Roman" pitchFamily="18" charset="0"/>
            </a:rPr>
            <a:t>Centre des impôts: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workbookViewId="0">
      <selection activeCell="B22" sqref="B22:J23"/>
    </sheetView>
  </sheetViews>
  <sheetFormatPr baseColWidth="10" defaultRowHeight="18" customHeight="1" x14ac:dyDescent="0.45"/>
  <cols>
    <col min="11" max="11" width="11.3984375" customWidth="1"/>
  </cols>
  <sheetData>
    <row r="1" spans="1:11" ht="35.25" customHeight="1" thickBot="1" x14ac:dyDescent="0.5"/>
    <row r="2" spans="1:11" ht="18" customHeight="1" thickTop="1" x14ac:dyDescent="0.45">
      <c r="A2" s="170"/>
      <c r="B2" s="171"/>
      <c r="C2" s="171"/>
      <c r="D2" s="171"/>
      <c r="E2" s="171"/>
      <c r="F2" s="171"/>
      <c r="G2" s="171"/>
      <c r="H2" s="171"/>
      <c r="I2" s="171"/>
      <c r="J2" s="171"/>
      <c r="K2" s="172"/>
    </row>
    <row r="3" spans="1:11" ht="18" customHeight="1" x14ac:dyDescent="0.45">
      <c r="A3" s="173"/>
      <c r="K3" s="174"/>
    </row>
    <row r="4" spans="1:11" ht="18" customHeight="1" x14ac:dyDescent="0.45">
      <c r="A4" s="173"/>
      <c r="K4" s="174"/>
    </row>
    <row r="5" spans="1:11" ht="18" customHeight="1" x14ac:dyDescent="0.45">
      <c r="A5" s="173"/>
      <c r="K5" s="174"/>
    </row>
    <row r="6" spans="1:11" ht="18" customHeight="1" x14ac:dyDescent="0.45">
      <c r="A6" s="173"/>
      <c r="K6" s="174"/>
    </row>
    <row r="7" spans="1:11" ht="18" customHeight="1" x14ac:dyDescent="0.45">
      <c r="A7" s="173"/>
      <c r="K7" s="174"/>
    </row>
    <row r="8" spans="1:11" ht="18" customHeight="1" x14ac:dyDescent="0.45">
      <c r="A8" s="173"/>
      <c r="K8" s="174"/>
    </row>
    <row r="9" spans="1:11" ht="18" customHeight="1" x14ac:dyDescent="0.45">
      <c r="A9" s="173"/>
      <c r="K9" s="174"/>
    </row>
    <row r="10" spans="1:11" ht="18" customHeight="1" x14ac:dyDescent="0.45">
      <c r="A10" s="175"/>
      <c r="B10" s="176"/>
      <c r="C10" s="176"/>
      <c r="D10" s="176"/>
      <c r="E10" s="176"/>
      <c r="F10" s="176"/>
      <c r="G10" s="176"/>
      <c r="H10" s="176"/>
      <c r="I10" s="176"/>
      <c r="J10" s="176"/>
      <c r="K10" s="174"/>
    </row>
    <row r="11" spans="1:11" ht="18" customHeight="1" x14ac:dyDescent="0.45">
      <c r="A11" s="175"/>
      <c r="B11" s="176"/>
      <c r="C11" s="176"/>
      <c r="D11" s="176"/>
      <c r="E11" s="176"/>
      <c r="F11" s="176"/>
      <c r="G11" s="176"/>
      <c r="H11" s="176"/>
      <c r="I11" s="176"/>
      <c r="J11" s="176"/>
      <c r="K11" s="174"/>
    </row>
    <row r="12" spans="1:11" ht="18" customHeight="1" x14ac:dyDescent="0.45">
      <c r="A12" s="175"/>
      <c r="B12" s="176"/>
      <c r="C12" s="176"/>
      <c r="D12" s="176"/>
      <c r="E12" s="176"/>
      <c r="F12" s="176"/>
      <c r="G12" s="176"/>
      <c r="H12" s="176"/>
      <c r="I12" s="176"/>
      <c r="J12" s="176"/>
      <c r="K12" s="174"/>
    </row>
    <row r="13" spans="1:11" ht="18" customHeight="1" x14ac:dyDescent="0.45">
      <c r="A13" s="175"/>
      <c r="B13" s="176"/>
      <c r="C13" s="176"/>
      <c r="D13" s="176"/>
      <c r="E13" s="176"/>
      <c r="F13" s="176"/>
      <c r="G13" s="176"/>
      <c r="H13" s="176"/>
      <c r="I13" s="176"/>
      <c r="J13" s="176"/>
      <c r="K13" s="174"/>
    </row>
    <row r="14" spans="1:11" ht="18" customHeight="1" x14ac:dyDescent="0.45">
      <c r="A14" s="175"/>
      <c r="B14" s="176"/>
      <c r="C14" s="176"/>
      <c r="D14" s="176"/>
      <c r="E14" s="176"/>
      <c r="F14" s="176"/>
      <c r="G14" s="176"/>
      <c r="H14" s="176"/>
      <c r="I14" s="176"/>
      <c r="J14" s="176"/>
      <c r="K14" s="174"/>
    </row>
    <row r="15" spans="1:11" ht="18" customHeight="1" x14ac:dyDescent="0.45">
      <c r="A15" s="175"/>
      <c r="B15" s="176"/>
      <c r="C15" s="176"/>
      <c r="D15" s="176"/>
      <c r="E15" s="176"/>
      <c r="F15" s="176"/>
      <c r="G15" s="176"/>
      <c r="H15" s="176"/>
      <c r="I15" s="176"/>
      <c r="J15" s="176"/>
      <c r="K15" s="174"/>
    </row>
    <row r="16" spans="1:11" ht="18" customHeight="1" x14ac:dyDescent="0.45">
      <c r="A16" s="175"/>
      <c r="B16" s="176"/>
      <c r="C16" s="176"/>
      <c r="D16" s="176"/>
      <c r="E16" s="176"/>
      <c r="F16" s="176"/>
      <c r="G16" s="176"/>
      <c r="H16" s="176"/>
      <c r="I16" s="176"/>
      <c r="J16" s="176"/>
      <c r="K16" s="174"/>
    </row>
    <row r="17" spans="1:11" ht="18" customHeight="1" thickBot="1" x14ac:dyDescent="0.5">
      <c r="A17" s="175"/>
      <c r="B17" s="176"/>
      <c r="C17" s="176"/>
      <c r="D17" s="176"/>
      <c r="E17" s="176"/>
      <c r="F17" s="176"/>
      <c r="G17" s="176"/>
      <c r="H17" s="176"/>
      <c r="I17" s="176"/>
      <c r="J17" s="176"/>
      <c r="K17" s="174"/>
    </row>
    <row r="18" spans="1:11" ht="18" customHeight="1" x14ac:dyDescent="0.45">
      <c r="A18" s="175"/>
      <c r="B18" s="252" t="inlineStr">
        <is>
          <t xml:space="preserve">${report_quarter_label}</t>
        </is>
      </c>
      <c r="C18" s="253"/>
      <c r="D18" s="253"/>
      <c r="E18" s="253"/>
      <c r="F18" s="253"/>
      <c r="G18" s="253"/>
      <c r="H18" s="253"/>
      <c r="I18" s="253"/>
      <c r="J18" s="254"/>
      <c r="K18" s="174"/>
    </row>
    <row r="19" spans="1:11" ht="18" customHeight="1" x14ac:dyDescent="0.45">
      <c r="A19" s="175"/>
      <c r="B19" s="255"/>
      <c r="C19" s="256"/>
      <c r="D19" s="256"/>
      <c r="E19" s="256"/>
      <c r="F19" s="256"/>
      <c r="G19" s="256"/>
      <c r="H19" s="256"/>
      <c r="I19" s="256"/>
      <c r="J19" s="257"/>
      <c r="K19" s="174"/>
    </row>
    <row r="20" spans="1:11" ht="18" customHeight="1" thickBot="1" x14ac:dyDescent="0.5">
      <c r="A20" s="173"/>
      <c r="B20" s="258"/>
      <c r="C20" s="259"/>
      <c r="D20" s="259"/>
      <c r="E20" s="259"/>
      <c r="F20" s="259"/>
      <c r="G20" s="259"/>
      <c r="H20" s="259"/>
      <c r="I20" s="259"/>
      <c r="J20" s="260"/>
      <c r="K20" s="174"/>
    </row>
    <row r="21" spans="1:11" ht="18" customHeight="1" x14ac:dyDescent="0.95">
      <c r="A21" s="173"/>
      <c r="B21" s="177"/>
      <c r="C21" s="177"/>
      <c r="D21" s="177"/>
      <c r="E21" s="177"/>
      <c r="F21" s="177"/>
      <c r="G21" s="177"/>
      <c r="H21" s="177"/>
      <c r="K21" s="174"/>
    </row>
    <row r="22" spans="1:11" ht="18" customHeight="1" x14ac:dyDescent="0.45">
      <c r="A22" s="173"/>
      <c r="B22" s="261" t="s">
        <v>104</v>
      </c>
      <c r="C22" s="261"/>
      <c r="D22" s="261"/>
      <c r="E22" s="261"/>
      <c r="F22" s="261"/>
      <c r="G22" s="261"/>
      <c r="H22" s="261"/>
      <c r="I22" s="261"/>
      <c r="J22" s="261"/>
      <c r="K22" s="174"/>
    </row>
    <row r="23" spans="1:11" ht="18" customHeight="1" x14ac:dyDescent="0.45">
      <c r="A23" s="173"/>
      <c r="B23" s="261"/>
      <c r="C23" s="261"/>
      <c r="D23" s="261"/>
      <c r="E23" s="261"/>
      <c r="F23" s="261"/>
      <c r="G23" s="261"/>
      <c r="H23" s="261"/>
      <c r="I23" s="261"/>
      <c r="J23" s="261"/>
      <c r="K23" s="174"/>
    </row>
    <row r="24" spans="1:11" ht="26.25" customHeight="1" thickBot="1" x14ac:dyDescent="0.5">
      <c r="A24" s="178"/>
      <c r="B24" s="179"/>
      <c r="C24" s="179"/>
      <c r="D24" s="179"/>
      <c r="E24" s="179"/>
      <c r="F24" s="179"/>
      <c r="G24" s="179"/>
      <c r="H24" s="179"/>
      <c r="I24" s="179"/>
      <c r="J24" s="179"/>
      <c r="K24" s="180"/>
    </row>
    <row r="25" spans="1:11" ht="18" customHeight="1" thickTop="1" x14ac:dyDescent="0.45"/>
  </sheetData>
  <mergeCells count="2">
    <mergeCell ref="B18:J20"/>
    <mergeCell ref="B22:J23"/>
  </mergeCells>
  <printOptions horizontalCentered="1"/>
  <pageMargins left="0.78740157480314965" right="0.59055118110236227" top="0.78740157480314965" bottom="0.78740157480314965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5:K291"/>
  <sheetViews>
    <sheetView topLeftCell="A123" workbookViewId="0">
      <selection activeCell="C142" sqref="C142"/>
    </sheetView>
  </sheetViews>
  <sheetFormatPr baseColWidth="10" defaultColWidth="11.3984375" defaultRowHeight="13.5" x14ac:dyDescent="0.35"/>
  <cols>
    <col min="1" max="1" width="3.73046875" style="213" customWidth="1"/>
    <col min="2" max="2" width="3.3984375" style="213" customWidth="1"/>
    <col min="3" max="3" width="16.3984375" style="213" customWidth="1"/>
    <col min="4" max="4" width="30" style="213" customWidth="1"/>
    <col min="5" max="5" width="11.59765625" style="213" customWidth="1"/>
    <col min="6" max="6" width="15.3984375" style="213" customWidth="1"/>
    <col min="7" max="7" width="12.86328125" style="213" customWidth="1"/>
    <col min="8" max="8" width="21.265625" style="213" customWidth="1"/>
    <col min="9" max="9" width="14.59765625" style="213" customWidth="1"/>
    <col min="10" max="10" width="18.86328125" style="213" customWidth="1"/>
    <col min="11" max="16384" width="11.3984375" style="213"/>
  </cols>
  <sheetData>
    <row r="5" spans="2:11" ht="11.25" customHeight="1" x14ac:dyDescent="0.35"/>
    <row r="6" spans="2:11" ht="11.25" customHeight="1" x14ac:dyDescent="0.45">
      <c r="B6" s="214"/>
    </row>
    <row r="7" spans="2:11" ht="11.25" customHeight="1" x14ac:dyDescent="0.35">
      <c r="B7" s="215"/>
    </row>
    <row r="8" spans="2:11" ht="11.25" customHeight="1" x14ac:dyDescent="0.35">
      <c r="B8" s="215"/>
    </row>
    <row r="9" spans="2:11" x14ac:dyDescent="0.35">
      <c r="B9" s="216"/>
    </row>
    <row r="10" spans="2:11" ht="24.75" x14ac:dyDescent="0.65">
      <c r="B10" s="262" t="s">
        <v>0</v>
      </c>
      <c r="C10" s="262"/>
      <c r="D10" s="262"/>
      <c r="E10" s="262"/>
      <c r="F10" s="262"/>
      <c r="G10" s="262"/>
      <c r="H10" s="262"/>
      <c r="I10" s="262"/>
      <c r="J10" s="262"/>
      <c r="K10" s="262"/>
    </row>
    <row r="11" spans="2:11" ht="5.25" customHeight="1" x14ac:dyDescent="0.35"/>
    <row r="12" spans="2:11" ht="22.5" x14ac:dyDescent="0.6">
      <c r="B12" s="213" t="s">
        <v>2</v>
      </c>
      <c r="D12" s="266" t="s">
        <v>115</v>
      </c>
      <c r="E12" s="266"/>
      <c r="F12" s="266"/>
      <c r="G12" s="266"/>
      <c r="H12" s="266"/>
    </row>
    <row r="13" spans="2:11" ht="7.5" customHeight="1" x14ac:dyDescent="0.35"/>
    <row r="14" spans="2:11" ht="13.9" x14ac:dyDescent="0.4">
      <c r="B14" s="213" t="s">
        <v>1</v>
      </c>
      <c r="C14" s="217"/>
      <c r="D14" s="263" t="inlineStr">
        <is>
          <t xml:space="preserve">${report_date}</t>
        </is>
      </c>
      <c r="E14" s="263"/>
    </row>
    <row r="15" spans="2:11" ht="4.5" customHeight="1" x14ac:dyDescent="0.35"/>
    <row r="16" spans="2:11" ht="5.25" customHeight="1" x14ac:dyDescent="0.35"/>
    <row r="17" spans="2:11" ht="6.75" customHeight="1" x14ac:dyDescent="0.35"/>
    <row r="18" spans="2:11" ht="17.649999999999999" x14ac:dyDescent="0.5">
      <c r="B18" s="264" t="s">
        <v>3</v>
      </c>
      <c r="C18" s="264"/>
      <c r="D18" s="264"/>
      <c r="E18" s="264"/>
      <c r="F18" s="264"/>
      <c r="G18" s="264"/>
      <c r="H18" s="264"/>
      <c r="I18" s="264"/>
      <c r="J18" s="264"/>
      <c r="K18" s="264"/>
    </row>
    <row r="19" spans="2:11" ht="5.25" customHeight="1" x14ac:dyDescent="0.35"/>
    <row r="20" spans="2:11" ht="13.9" x14ac:dyDescent="0.4">
      <c r="C20" s="217" t="s">
        <v>4</v>
      </c>
    </row>
    <row r="21" spans="2:11" ht="13.9" x14ac:dyDescent="0.4">
      <c r="B21" s="218" t="s">
        <v>116</v>
      </c>
      <c r="E21" s="217" t="inlineStr">
        <is>
          <t xml:space="preserve">${cga_name}</t>
        </is>
      </c>
      <c r="F21" s="217"/>
      <c r="G21" s="217"/>
    </row>
    <row r="22" spans="2:11" ht="13.9" x14ac:dyDescent="0.4">
      <c r="B22" s="218" t="s">
        <v>117</v>
      </c>
      <c r="E22" s="217" t="inlineStr">
        <is>
          <t xml:space="preserve">${cga_ncc}</t>
        </is>
      </c>
      <c r="F22" s="217"/>
      <c r="G22" s="217"/>
    </row>
    <row r="23" spans="2:11" ht="13.9" x14ac:dyDescent="0.4">
      <c r="B23" s="218" t="s">
        <v>118</v>
      </c>
      <c r="E23" s="217" t="inlineStr">
        <is>
          <t xml:space="preserve">${cga_seat}</t>
        </is>
      </c>
      <c r="F23" s="217"/>
      <c r="G23" s="217"/>
    </row>
    <row r="24" spans="2:11" ht="13.9" x14ac:dyDescent="0.4">
      <c r="B24" s="218" t="s">
        <v>119</v>
      </c>
      <c r="E24" s="217" t="inlineStr">
        <is>
          <t xml:space="preserve">${cga_location}</t>
        </is>
      </c>
      <c r="F24" s="217"/>
    </row>
    <row r="25" spans="2:11" ht="13.9" x14ac:dyDescent="0.4">
      <c r="B25" s="218" t="s">
        <v>120</v>
      </c>
      <c r="E25" s="217" t="inlineStr">
        <is>
          <t xml:space="preserve">${cga_contacts}</t>
        </is>
      </c>
      <c r="H25" s="217"/>
      <c r="I25" s="217"/>
    </row>
    <row r="26" spans="2:11" ht="13.9" x14ac:dyDescent="0.4">
      <c r="B26" s="218" t="s">
        <v>121</v>
      </c>
      <c r="E26" s="217" t="inlineStr">
        <is>
          <t xml:space="preserve">${cga_agreement}</t>
        </is>
      </c>
      <c r="F26" s="217"/>
      <c r="H26" s="217"/>
      <c r="I26" s="217"/>
    </row>
    <row r="27" spans="2:11" ht="13.9" x14ac:dyDescent="0.4">
      <c r="B27" s="218" t="s">
        <v>122</v>
      </c>
      <c r="E27" t="inlineStr">
        <is>
          <t xml:space="preserve">${regional_directorate}</t>
        </is>
      </c>
      <c r="F27" s="217"/>
      <c r="H27" s="217"/>
      <c r="I27" s="217"/>
    </row>
    <row r="28" spans="2:11" ht="13.9" x14ac:dyDescent="0.4">
      <c r="B28" s="218" t="s">
        <v>123</v>
      </c>
      <c r="E28" s="217" t="inlineStr">
        <is>
          <t xml:space="preserve">${cga_tax_service}</t>
        </is>
      </c>
      <c r="F28" s="217"/>
      <c r="H28" s="217"/>
    </row>
    <row r="29" spans="2:11" ht="13.9" x14ac:dyDescent="0.4">
      <c r="B29" s="218" t="s">
        <v>124</v>
      </c>
      <c r="E29" s="217" t="inlineStr">
        <is>
          <t xml:space="preserve">${cga_legal_form_capital}</t>
        </is>
      </c>
      <c r="F29" s="217"/>
      <c r="H29" s="217"/>
    </row>
    <row r="30" spans="2:11" ht="13.9" x14ac:dyDescent="0.4">
      <c r="B30" s="218" t="s">
        <v>125</v>
      </c>
      <c r="E30" t="inlineStr">
        <is>
          <t xml:space="preserve">${cga_history}</t>
        </is>
      </c>
    </row>
    <row r="31" spans="2:11" ht="13.9" x14ac:dyDescent="0.4">
      <c r="B31" s="218" t="s">
        <v>126</v>
      </c>
      <c r="E31" t="inlineStr">
        <is>
          <t xml:space="preserve">${cga_previous_year_revenue}</t>
        </is>
      </c>
    </row>
    <row r="32" spans="2:11" x14ac:dyDescent="0.35">
      <c r="B32" s="218"/>
    </row>
    <row r="34" spans="2:11" ht="13.9" x14ac:dyDescent="0.4">
      <c r="C34" s="219" t="s">
        <v>5</v>
      </c>
    </row>
    <row r="35" spans="2:11" ht="14.25" customHeight="1" x14ac:dyDescent="0.4">
      <c r="C35" s="219" t="s">
        <v>127</v>
      </c>
    </row>
    <row r="37" spans="2:11" ht="18" customHeight="1" x14ac:dyDescent="0.35">
      <c r="B37" s="265" t="s">
        <v>6</v>
      </c>
      <c r="C37" s="265" t="s">
        <v>7</v>
      </c>
      <c r="D37" s="265" t="s">
        <v>8</v>
      </c>
      <c r="E37" s="265" t="s">
        <v>9</v>
      </c>
      <c r="F37" s="265" t="s">
        <v>10</v>
      </c>
      <c r="G37" s="265" t="s">
        <v>11</v>
      </c>
      <c r="H37" s="265" t="s">
        <v>12</v>
      </c>
      <c r="I37" s="265" t="s">
        <v>13</v>
      </c>
      <c r="J37" s="265"/>
      <c r="K37" s="265"/>
    </row>
    <row r="38" spans="2:11" ht="26.25" customHeight="1" x14ac:dyDescent="0.35">
      <c r="B38" s="265"/>
      <c r="C38" s="265"/>
      <c r="D38" s="265"/>
      <c r="E38" s="265"/>
      <c r="F38" s="265"/>
      <c r="G38" s="265"/>
      <c r="H38" s="265"/>
      <c r="I38" s="67" t="s">
        <v>14</v>
      </c>
      <c r="J38" s="67" t="s">
        <v>15</v>
      </c>
      <c r="K38" s="67" t="s">
        <v>16</v>
      </c>
    </row>
    <row r="39" spans="2:11" ht="26.25" customHeight="1" x14ac:dyDescent="0.35">
      <c r="B39" s="33">
        <v>1</v>
      </c>
      <c r="C39" s="33" t="inlineStr">
        <is>
          <t xml:space="preserve">${director_name}</t>
        </is>
      </c>
      <c r="D39" s="220" t="inlineStr">
        <is>
          <t xml:space="preserve">${director_nationality}</t>
        </is>
      </c>
      <c r="E39" s="197" t="inlineStr">
        <is>
          <t xml:space="preserve">${director_profession}</t>
        </is>
      </c>
      <c r="F39" s="223" t="inlineStr">
        <is>
          <t xml:space="preserve">${director_diplomas}</t>
        </is>
      </c>
      <c r="G39" s="222" t="inlineStr">
        <is>
          <t xml:space="preserve">${director_function}</t>
        </is>
      </c>
      <c r="H39" s="222" t="inlineStr">
        <is>
          <t xml:space="preserve">${director_start_date}</t>
        </is>
      </c>
      <c r="I39" s="33" t="inlineStr">
        <is>
          <t xml:space="preserve">${director_practice_structure}</t>
        </is>
      </c>
      <c r="J39" s="41" t="inlineStr">
        <is>
          <t xml:space="preserve">${director_practice_function}</t>
        </is>
      </c>
      <c r="K39" s="33" t="inlineStr">
        <is>
          <t xml:space="preserve">${director_practice_years}</t>
        </is>
      </c>
    </row>
    <row r="40" spans="2:11" ht="45" customHeight="1" x14ac:dyDescent="0.35">
      <c r="B40" s="33">
        <v>2</v>
      </c>
      <c r="C40" s="33"/>
      <c r="D40" s="220"/>
      <c r="E40" s="197"/>
      <c r="F40" s="221"/>
      <c r="G40" s="222"/>
      <c r="H40" s="222"/>
      <c r="I40" s="33"/>
      <c r="J40" s="33"/>
      <c r="K40" s="33"/>
    </row>
    <row r="41" spans="2:11" ht="39" customHeight="1" x14ac:dyDescent="0.35">
      <c r="B41" s="33">
        <v>3</v>
      </c>
      <c r="C41" s="33"/>
      <c r="D41" s="220"/>
      <c r="E41" s="197"/>
      <c r="F41" s="221"/>
      <c r="G41" s="222"/>
      <c r="H41" s="222"/>
      <c r="I41" s="33"/>
      <c r="J41" s="33"/>
      <c r="K41" s="33"/>
    </row>
    <row r="44" spans="2:11" ht="17.649999999999999" x14ac:dyDescent="0.5">
      <c r="C44" s="224" t="s">
        <v>128</v>
      </c>
    </row>
    <row r="45" spans="2:11" ht="17.649999999999999" x14ac:dyDescent="0.5">
      <c r="C45" s="224"/>
    </row>
    <row r="46" spans="2:11" ht="24" customHeight="1" x14ac:dyDescent="0.35">
      <c r="B46" s="265" t="s">
        <v>6</v>
      </c>
      <c r="C46" s="265" t="s">
        <v>7</v>
      </c>
      <c r="D46" s="265" t="s">
        <v>8</v>
      </c>
      <c r="E46" s="265" t="s">
        <v>9</v>
      </c>
      <c r="F46" s="265" t="s">
        <v>10</v>
      </c>
      <c r="G46" s="265" t="s">
        <v>11</v>
      </c>
      <c r="H46" s="267" t="s">
        <v>12</v>
      </c>
      <c r="I46" s="268" t="s">
        <v>20</v>
      </c>
      <c r="J46" s="267" t="s">
        <v>17</v>
      </c>
      <c r="K46" s="267"/>
    </row>
    <row r="47" spans="2:11" ht="15.75" customHeight="1" x14ac:dyDescent="0.35">
      <c r="B47" s="265"/>
      <c r="C47" s="265"/>
      <c r="D47" s="265"/>
      <c r="E47" s="265"/>
      <c r="F47" s="265"/>
      <c r="G47" s="265"/>
      <c r="H47" s="267"/>
      <c r="I47" s="268"/>
      <c r="J47" s="192" t="s">
        <v>18</v>
      </c>
      <c r="K47" s="192" t="s">
        <v>19</v>
      </c>
    </row>
    <row r="48" spans="2:11" ht="27" customHeight="1" x14ac:dyDescent="0.35">
      <c r="B48" s="33">
        <v>1</v>
      </c>
      <c r="C48" s="225" t="inlineStr">
        <is>
          <t xml:space="preserve">${employee_name}</t>
        </is>
      </c>
      <c r="D48" s="226" t="inlineStr">
        <is>
          <t xml:space="preserve">${employee_nationality}</t>
        </is>
      </c>
      <c r="E48" s="220" t="inlineStr">
        <is>
          <t xml:space="preserve">${employee_profession}</t>
        </is>
      </c>
      <c r="F48" s="225" t="inlineStr">
        <is>
          <t xml:space="preserve">${employee_diplomas}</t>
        </is>
      </c>
      <c r="G48" s="41" t="inlineStr">
        <is>
          <t xml:space="preserve">${employee_function}</t>
        </is>
      </c>
      <c r="H48" s="227" t="inlineStr">
        <is>
          <t xml:space="preserve">${employee_start_date}</t>
        </is>
      </c>
      <c r="I48" s="186" t="inlineStr">
        <is>
          <t xml:space="preserve">${employee_cnps}</t>
        </is>
      </c>
      <c r="J48" s="41" t="inlineStr">
        <is>
          <t xml:space="preserve">${employee_its}</t>
        </is>
      </c>
      <c r="K48" s="41" t="inlineStr">
        <is>
          <t xml:space="preserve">${employee_igr}</t>
        </is>
      </c>
    </row>
    <row r="49" spans="2:11" ht="20.25" customHeight="1" x14ac:dyDescent="0.35">
      <c r="B49" s="33">
        <v>2</v>
      </c>
      <c r="C49" s="225"/>
      <c r="D49" s="226"/>
      <c r="E49" s="220"/>
      <c r="F49" s="225"/>
      <c r="G49" s="42"/>
      <c r="H49" s="227"/>
      <c r="I49" s="186"/>
      <c r="J49" s="41"/>
      <c r="K49" s="41"/>
    </row>
    <row r="50" spans="2:11" ht="24" customHeight="1" x14ac:dyDescent="0.35">
      <c r="B50" s="33">
        <v>3</v>
      </c>
      <c r="C50" s="225"/>
      <c r="D50" s="226"/>
      <c r="E50" s="220"/>
      <c r="F50" s="225"/>
      <c r="G50" s="42"/>
      <c r="H50" s="227"/>
      <c r="I50" s="186"/>
      <c r="J50" s="41"/>
      <c r="K50" s="41"/>
    </row>
    <row r="51" spans="2:11" ht="22.5" customHeight="1" x14ac:dyDescent="0.35">
      <c r="B51" s="33">
        <v>4</v>
      </c>
      <c r="C51" s="225"/>
      <c r="D51" s="226"/>
      <c r="E51" s="220"/>
      <c r="F51" s="225"/>
      <c r="G51" s="42"/>
      <c r="H51" s="222"/>
      <c r="I51" s="186"/>
      <c r="J51" s="5"/>
      <c r="K51" s="5"/>
    </row>
    <row r="52" spans="2:11" ht="21" customHeight="1" x14ac:dyDescent="0.35">
      <c r="B52" s="33">
        <v>5</v>
      </c>
      <c r="C52" s="225"/>
      <c r="D52" s="226"/>
      <c r="E52" s="220"/>
      <c r="F52" s="228"/>
      <c r="G52" s="33"/>
      <c r="H52" s="222"/>
      <c r="I52" s="33"/>
      <c r="J52" s="5"/>
      <c r="K52" s="5"/>
    </row>
    <row r="53" spans="2:11" ht="23.25" customHeight="1" x14ac:dyDescent="0.35">
      <c r="B53" s="33">
        <v>6</v>
      </c>
      <c r="C53" s="221"/>
      <c r="D53" s="226"/>
      <c r="E53" s="220"/>
      <c r="F53" s="228"/>
      <c r="G53" s="33"/>
      <c r="H53" s="222"/>
      <c r="I53" s="33"/>
      <c r="J53" s="5"/>
      <c r="K53" s="5"/>
    </row>
    <row r="54" spans="2:11" ht="21.75" customHeight="1" x14ac:dyDescent="0.35">
      <c r="B54" s="33">
        <v>7</v>
      </c>
      <c r="C54" s="225"/>
      <c r="D54" s="226"/>
      <c r="E54" s="220"/>
      <c r="F54" s="228"/>
      <c r="G54" s="33"/>
      <c r="H54" s="222"/>
      <c r="I54" s="33"/>
      <c r="J54" s="229"/>
      <c r="K54" s="229"/>
    </row>
    <row r="55" spans="2:11" x14ac:dyDescent="0.35">
      <c r="C55" s="230"/>
    </row>
    <row r="56" spans="2:11" x14ac:dyDescent="0.35">
      <c r="B56" s="231" t="s">
        <v>129</v>
      </c>
      <c r="C56" s="232"/>
      <c r="D56" s="233"/>
      <c r="E56" s="233"/>
      <c r="F56" s="233"/>
    </row>
    <row r="57" spans="2:11" x14ac:dyDescent="0.35">
      <c r="B57" s="234"/>
      <c r="C57" s="230"/>
    </row>
    <row r="58" spans="2:11" x14ac:dyDescent="0.35">
      <c r="B58" s="234"/>
      <c r="C58" s="230"/>
    </row>
    <row r="59" spans="2:11" ht="17.649999999999999" x14ac:dyDescent="0.5">
      <c r="C59" s="224" t="s">
        <v>130</v>
      </c>
    </row>
    <row r="61" spans="2:11" ht="52.5" x14ac:dyDescent="0.35">
      <c r="B61" s="235" t="s">
        <v>6</v>
      </c>
      <c r="C61" s="265" t="s">
        <v>7</v>
      </c>
      <c r="D61" s="265"/>
      <c r="E61" s="67" t="s">
        <v>8</v>
      </c>
      <c r="F61" s="67" t="s">
        <v>9</v>
      </c>
      <c r="G61" s="265" t="s">
        <v>10</v>
      </c>
      <c r="H61" s="265"/>
      <c r="I61" s="67" t="s">
        <v>11</v>
      </c>
      <c r="J61" s="67" t="s">
        <v>12</v>
      </c>
      <c r="K61" s="52" t="s">
        <v>21</v>
      </c>
    </row>
    <row r="62" spans="2:11" ht="29.25" customHeight="1" x14ac:dyDescent="0.35">
      <c r="B62" s="197">
        <v>1</v>
      </c>
      <c r="C62" s="269" t="inlineStr">
        <is>
          <t xml:space="preserve">${occasional_name}</t>
        </is>
      </c>
      <c r="D62" s="269"/>
      <c r="E62" s="226" t="inlineStr">
        <is>
          <t xml:space="preserve">${occasional_nationality}</t>
        </is>
      </c>
      <c r="F62" s="197" t="inlineStr">
        <is>
          <t xml:space="preserve">${occasional_profession}</t>
        </is>
      </c>
      <c r="G62" s="270" t="inlineStr">
        <is>
          <t xml:space="preserve">${occasional_diplomas}</t>
        </is>
      </c>
      <c r="H62" s="271"/>
      <c r="I62" s="197" t="inlineStr">
        <is>
          <t xml:space="preserve">${occasional_function}</t>
        </is>
      </c>
      <c r="J62" s="236" t="inlineStr">
        <is>
          <t xml:space="preserve">${occasional_start_date}</t>
        </is>
      </c>
      <c r="K62" s="33" t="inlineStr">
        <is>
          <t xml:space="preserve">${occasional_duration}</t>
        </is>
      </c>
    </row>
    <row r="63" spans="2:11" ht="24" customHeight="1" x14ac:dyDescent="0.35">
      <c r="B63" s="197">
        <v>2</v>
      </c>
      <c r="C63" s="269"/>
      <c r="D63" s="269"/>
      <c r="E63" s="226"/>
      <c r="F63" s="197"/>
      <c r="G63" s="270"/>
      <c r="H63" s="271"/>
      <c r="I63" s="197"/>
      <c r="J63" s="236"/>
      <c r="K63" s="33"/>
    </row>
    <row r="64" spans="2:11" ht="25.5" customHeight="1" x14ac:dyDescent="0.35">
      <c r="B64" s="197">
        <v>3</v>
      </c>
      <c r="C64" s="269"/>
      <c r="D64" s="269"/>
      <c r="E64" s="226"/>
      <c r="F64" s="197"/>
      <c r="G64" s="273"/>
      <c r="H64" s="274"/>
      <c r="I64" s="197"/>
      <c r="J64" s="236"/>
      <c r="K64" s="33"/>
    </row>
    <row r="65" spans="2:11" ht="22.5" customHeight="1" x14ac:dyDescent="0.35">
      <c r="B65" s="197">
        <v>4</v>
      </c>
      <c r="C65" s="269"/>
      <c r="D65" s="269"/>
      <c r="E65" s="226"/>
      <c r="F65" s="197"/>
      <c r="G65" s="273"/>
      <c r="H65" s="274"/>
      <c r="I65" s="197"/>
      <c r="J65" s="236"/>
      <c r="K65" s="237"/>
    </row>
    <row r="69" spans="2:11" ht="17.649999999999999" x14ac:dyDescent="0.5">
      <c r="C69" s="238" t="s">
        <v>22</v>
      </c>
    </row>
    <row r="70" spans="2:11" ht="17.649999999999999" x14ac:dyDescent="0.5">
      <c r="C70" s="238"/>
    </row>
    <row r="71" spans="2:11" ht="21.75" customHeight="1" x14ac:dyDescent="0.35">
      <c r="B71" s="275" t="s">
        <v>23</v>
      </c>
      <c r="C71" s="275"/>
      <c r="D71" s="239" t="s">
        <v>23</v>
      </c>
      <c r="E71" s="276" t="s">
        <v>24</v>
      </c>
      <c r="F71" s="276"/>
      <c r="G71" s="276"/>
      <c r="H71" s="276"/>
      <c r="I71" s="276"/>
      <c r="J71" s="276"/>
      <c r="K71" s="240"/>
    </row>
    <row r="72" spans="2:11" ht="21.75" customHeight="1" x14ac:dyDescent="0.35">
      <c r="B72" s="267" t="s">
        <v>131</v>
      </c>
      <c r="C72" s="267"/>
      <c r="D72" s="235" t="s">
        <v>132</v>
      </c>
      <c r="E72" s="235" t="s">
        <v>25</v>
      </c>
      <c r="F72" s="235" t="s">
        <v>26</v>
      </c>
      <c r="G72" s="235" t="s">
        <v>27</v>
      </c>
      <c r="H72" s="235" t="s">
        <v>28</v>
      </c>
      <c r="I72" s="235" t="s">
        <v>29</v>
      </c>
      <c r="J72" s="235" t="s">
        <v>133</v>
      </c>
      <c r="K72" s="241"/>
    </row>
    <row r="73" spans="2:11" ht="23.25" customHeight="1" x14ac:dyDescent="0.35">
      <c r="B73" s="277" t="inlineStr">
        <is>
          <t xml:space="preserve">${res_rooms}</t>
        </is>
      </c>
      <c r="C73" s="277"/>
      <c r="D73" s="242" t="inlineStr">
        <is>
          <t xml:space="preserve">${res_training_rooms}</t>
        </is>
      </c>
      <c r="E73" s="41" t="inlineStr">
        <is>
          <t xml:space="preserve">${res_furniture}</t>
        </is>
      </c>
      <c r="F73" s="41" t="inlineStr">
        <is>
          <t xml:space="preserve">${res_computers}</t>
        </is>
      </c>
      <c r="G73" s="225" t="inlineStr">
        <is>
          <t xml:space="preserve">${res_software}</t>
        </is>
      </c>
      <c r="H73" s="33" t="inlineStr">
        <is>
          <t xml:space="preserve">${res_projectors}</t>
        </is>
      </c>
      <c r="I73" s="33" t="inlineStr">
        <is>
          <t xml:space="preserve">${res_vehicles}</t>
        </is>
      </c>
      <c r="J73" s="235" t="inlineStr">
        <is>
          <t xml:space="preserve">${res_other}</t>
        </is>
      </c>
      <c r="K73" s="241"/>
    </row>
    <row r="77" spans="2:11" ht="20.25" x14ac:dyDescent="0.5">
      <c r="B77" s="264" t="s">
        <v>134</v>
      </c>
      <c r="C77" s="264"/>
      <c r="D77" s="264"/>
      <c r="E77" s="264"/>
      <c r="F77" s="264"/>
      <c r="G77" s="264"/>
      <c r="H77" s="264"/>
      <c r="I77" s="264"/>
      <c r="J77" s="264"/>
      <c r="K77" s="264"/>
    </row>
    <row r="79" spans="2:11" ht="17.649999999999999" x14ac:dyDescent="0.5">
      <c r="B79" s="243" t="s">
        <v>30</v>
      </c>
    </row>
    <row r="80" spans="2:11" ht="13.9" x14ac:dyDescent="0.4">
      <c r="B80" s="218" t="s">
        <v>135</v>
      </c>
    </row>
    <row r="81" spans="2:7" x14ac:dyDescent="0.35">
      <c r="B81" s="218"/>
      <c r="C81" s="213" t="inlineStr">
        <is>
          <t xml:space="preserve">${trainings}</t>
        </is>
      </c>
    </row>
    <row r="82" spans="2:7" x14ac:dyDescent="0.35">
      <c r="B82" s="218"/>
      <c r="C82" s="213"/>
    </row>
    <row r="83" spans="2:7" ht="13.9" x14ac:dyDescent="0.4">
      <c r="B83" s="218" t="s">
        <v>136</v>
      </c>
    </row>
    <row r="84" spans="2:7" x14ac:dyDescent="0.35">
      <c r="B84" s="218"/>
      <c r="C84" s="213" t="inlineStr">
        <is>
          <t xml:space="preserve">${training_beneficiaries}</t>
        </is>
      </c>
    </row>
    <row r="85" spans="2:7" x14ac:dyDescent="0.35">
      <c r="B85" s="218"/>
    </row>
    <row r="86" spans="2:7" ht="13.9" x14ac:dyDescent="0.4">
      <c r="B86" s="218"/>
      <c r="C86" s="217" t="s">
        <v>94</v>
      </c>
    </row>
    <row r="87" spans="2:7" ht="20.25" customHeight="1" x14ac:dyDescent="0.35">
      <c r="B87" s="244" t="s">
        <v>6</v>
      </c>
      <c r="C87" s="244"/>
      <c r="D87" s="278" t="s">
        <v>95</v>
      </c>
      <c r="E87" s="278"/>
      <c r="F87" s="278"/>
      <c r="G87" s="244" t="s">
        <v>41</v>
      </c>
    </row>
    <row r="88" spans="2:7" ht="18" customHeight="1" x14ac:dyDescent="0.35">
      <c r="B88" s="245">
        <v>1</v>
      </c>
      <c r="C88" s="242"/>
      <c r="D88" s="272" t="inlineStr">
        <is>
          <t xml:space="preserve">${synthetic_client_name}</t>
        </is>
      </c>
      <c r="E88" s="272"/>
      <c r="F88" s="272"/>
      <c r="G88" s="246" t="inlineStr">
        <is>
          <t xml:space="preserve">${synthetic_client_ncc}</t>
        </is>
      </c>
    </row>
    <row r="89" spans="2:7" ht="18" customHeight="1" x14ac:dyDescent="0.35">
      <c r="B89" s="245">
        <v>2</v>
      </c>
      <c r="C89" s="242"/>
      <c r="D89" s="272"/>
      <c r="E89" s="272"/>
      <c r="F89" s="272"/>
      <c r="G89" s="246"/>
    </row>
    <row r="90" spans="2:7" ht="18" customHeight="1" x14ac:dyDescent="0.35">
      <c r="B90" s="245">
        <v>3</v>
      </c>
      <c r="C90" s="242"/>
      <c r="D90" s="272"/>
      <c r="E90" s="272"/>
      <c r="F90" s="272"/>
      <c r="G90" s="246"/>
    </row>
    <row r="91" spans="2:7" ht="18" customHeight="1" x14ac:dyDescent="0.35">
      <c r="B91" s="245">
        <v>4</v>
      </c>
      <c r="C91" s="242"/>
      <c r="D91" s="272"/>
      <c r="E91" s="272"/>
      <c r="F91" s="272"/>
      <c r="G91" s="246"/>
    </row>
    <row r="92" spans="2:7" ht="18" customHeight="1" x14ac:dyDescent="0.35">
      <c r="B92" s="245">
        <v>5</v>
      </c>
      <c r="C92" s="242"/>
      <c r="D92" s="272"/>
      <c r="E92" s="272"/>
      <c r="F92" s="272"/>
      <c r="G92" s="246"/>
    </row>
    <row r="93" spans="2:7" ht="18" customHeight="1" x14ac:dyDescent="0.35">
      <c r="B93" s="245">
        <v>6</v>
      </c>
      <c r="C93" s="242"/>
      <c r="D93" s="272"/>
      <c r="E93" s="272"/>
      <c r="F93" s="272"/>
      <c r="G93" s="246"/>
    </row>
    <row r="94" spans="2:7" ht="18" customHeight="1" x14ac:dyDescent="0.35">
      <c r="B94" s="245">
        <v>7</v>
      </c>
      <c r="C94" s="242"/>
      <c r="D94" s="272"/>
      <c r="E94" s="272"/>
      <c r="F94" s="272"/>
      <c r="G94" s="246"/>
    </row>
    <row r="95" spans="2:7" ht="18" customHeight="1" x14ac:dyDescent="0.35">
      <c r="B95" s="245">
        <v>8</v>
      </c>
      <c r="C95" s="242"/>
      <c r="D95" s="272"/>
      <c r="E95" s="272"/>
      <c r="F95" s="272"/>
      <c r="G95" s="246"/>
    </row>
    <row r="96" spans="2:7" ht="18" customHeight="1" x14ac:dyDescent="0.35">
      <c r="B96" s="245">
        <v>9</v>
      </c>
      <c r="C96" s="242"/>
      <c r="D96" s="272"/>
      <c r="E96" s="272"/>
      <c r="F96" s="272"/>
      <c r="G96" s="246"/>
    </row>
    <row r="97" spans="2:7" ht="18" customHeight="1" x14ac:dyDescent="0.35">
      <c r="B97" s="245">
        <v>10</v>
      </c>
      <c r="C97" s="242"/>
      <c r="D97" s="272"/>
      <c r="E97" s="272"/>
      <c r="F97" s="272"/>
      <c r="G97" s="246"/>
    </row>
    <row r="98" spans="2:7" ht="18" customHeight="1" x14ac:dyDescent="0.35">
      <c r="B98" s="245">
        <v>11</v>
      </c>
      <c r="C98" s="242"/>
      <c r="D98" s="272"/>
      <c r="E98" s="272"/>
      <c r="F98" s="272"/>
      <c r="G98" s="246"/>
    </row>
    <row r="99" spans="2:7" x14ac:dyDescent="0.35">
      <c r="B99" s="218"/>
    </row>
    <row r="100" spans="2:7" x14ac:dyDescent="0.35">
      <c r="B100" s="218"/>
    </row>
    <row r="101" spans="2:7" ht="13.9" x14ac:dyDescent="0.4">
      <c r="B101" s="218"/>
      <c r="C101" s="217" t="s">
        <v>96</v>
      </c>
    </row>
    <row r="102" spans="2:7" ht="20.25" customHeight="1" x14ac:dyDescent="0.35">
      <c r="B102" s="244" t="s">
        <v>6</v>
      </c>
      <c r="C102" s="244"/>
      <c r="D102" s="278" t="s">
        <v>95</v>
      </c>
      <c r="E102" s="278"/>
      <c r="F102" s="278"/>
      <c r="G102" s="244" t="s">
        <v>41</v>
      </c>
    </row>
    <row r="103" spans="2:7" ht="18" customHeight="1" x14ac:dyDescent="0.35">
      <c r="B103" s="245">
        <v>1</v>
      </c>
      <c r="C103" s="242"/>
      <c r="D103" s="272" t="inlineStr">
        <is>
          <t xml:space="preserve">${rsi_client_name}</t>
        </is>
      </c>
      <c r="E103" s="272"/>
      <c r="F103" s="272"/>
      <c r="G103" s="246" t="inlineStr">
        <is>
          <t xml:space="preserve">${rsi_client_ncc}</t>
        </is>
      </c>
    </row>
    <row r="104" spans="2:7" ht="18" customHeight="1" x14ac:dyDescent="0.35">
      <c r="B104" s="245">
        <v>2</v>
      </c>
      <c r="C104" s="242"/>
      <c r="D104" s="272"/>
      <c r="E104" s="272"/>
      <c r="F104" s="272"/>
      <c r="G104" s="246"/>
    </row>
    <row r="105" spans="2:7" x14ac:dyDescent="0.35">
      <c r="B105" s="218"/>
    </row>
    <row r="106" spans="2:7" ht="13.9" x14ac:dyDescent="0.4">
      <c r="B106" s="218" t="s">
        <v>137</v>
      </c>
    </row>
    <row r="107" spans="2:7" x14ac:dyDescent="0.35">
      <c r="B107" s="218"/>
    </row>
    <row r="108" spans="2:7" x14ac:dyDescent="0.35">
      <c r="B108" s="218"/>
    </row>
    <row r="109" spans="2:7" ht="13.9" x14ac:dyDescent="0.4">
      <c r="B109" s="218" t="s">
        <v>138</v>
      </c>
    </row>
    <row r="110" spans="2:7" x14ac:dyDescent="0.35">
      <c r="B110" s="218"/>
      <c r="C110" s="213" t="s">
        <v>102</v>
      </c>
    </row>
    <row r="111" spans="2:7" x14ac:dyDescent="0.35">
      <c r="B111" s="218"/>
    </row>
    <row r="112" spans="2:7" x14ac:dyDescent="0.35">
      <c r="B112" s="218"/>
    </row>
    <row r="113" spans="2:3" ht="17.649999999999999" x14ac:dyDescent="0.5">
      <c r="B113" s="243" t="s">
        <v>31</v>
      </c>
    </row>
    <row r="114" spans="2:3" ht="17.649999999999999" x14ac:dyDescent="0.5">
      <c r="B114" s="238"/>
    </row>
    <row r="115" spans="2:3" ht="15" x14ac:dyDescent="0.4">
      <c r="B115" s="218" t="s">
        <v>139</v>
      </c>
      <c r="C115" s="7" t="s">
        <v>88</v>
      </c>
    </row>
    <row r="116" spans="2:3" x14ac:dyDescent="0.35">
      <c r="B116" s="218"/>
    </row>
    <row r="117" spans="2:3" x14ac:dyDescent="0.35">
      <c r="B117" s="218"/>
    </row>
    <row r="118" spans="2:3" ht="13.9" x14ac:dyDescent="0.4">
      <c r="B118" s="218" t="s">
        <v>139</v>
      </c>
      <c r="C118" s="217" t="s">
        <v>89</v>
      </c>
    </row>
    <row r="119" spans="2:3" x14ac:dyDescent="0.35">
      <c r="B119" s="218"/>
    </row>
    <row r="120" spans="2:3" x14ac:dyDescent="0.35">
      <c r="B120" s="218"/>
    </row>
    <row r="121" spans="2:3" ht="13.9" x14ac:dyDescent="0.4">
      <c r="B121" s="218" t="s">
        <v>139</v>
      </c>
      <c r="C121" s="217" t="s">
        <v>90</v>
      </c>
    </row>
    <row r="122" spans="2:3" x14ac:dyDescent="0.35">
      <c r="B122" s="218"/>
    </row>
    <row r="123" spans="2:3" x14ac:dyDescent="0.35">
      <c r="B123" s="218"/>
    </row>
    <row r="124" spans="2:3" ht="13.9" x14ac:dyDescent="0.4">
      <c r="B124" s="218" t="s">
        <v>139</v>
      </c>
      <c r="C124" s="217" t="s">
        <v>91</v>
      </c>
    </row>
    <row r="125" spans="2:3" x14ac:dyDescent="0.35">
      <c r="B125" s="218"/>
    </row>
    <row r="126" spans="2:3" x14ac:dyDescent="0.35">
      <c r="B126" s="218"/>
    </row>
    <row r="127" spans="2:3" ht="17.649999999999999" x14ac:dyDescent="0.5">
      <c r="B127" s="243" t="s">
        <v>32</v>
      </c>
    </row>
    <row r="128" spans="2:3" ht="17.649999999999999" x14ac:dyDescent="0.5">
      <c r="B128" s="238"/>
    </row>
    <row r="129" spans="2:8" ht="13.9" x14ac:dyDescent="0.4">
      <c r="B129" s="218" t="s">
        <v>139</v>
      </c>
      <c r="C129" s="217" t="s">
        <v>92</v>
      </c>
    </row>
    <row r="130" spans="2:8" x14ac:dyDescent="0.35">
      <c r="B130" s="218"/>
    </row>
    <row r="131" spans="2:8" x14ac:dyDescent="0.35">
      <c r="B131" s="218"/>
    </row>
    <row r="132" spans="2:8" ht="13.9" x14ac:dyDescent="0.4">
      <c r="B132" s="218" t="s">
        <v>139</v>
      </c>
      <c r="C132" s="217" t="s">
        <v>93</v>
      </c>
    </row>
    <row r="133" spans="2:8" x14ac:dyDescent="0.35">
      <c r="B133" s="218"/>
    </row>
    <row r="134" spans="2:8" x14ac:dyDescent="0.35">
      <c r="B134" s="218"/>
    </row>
    <row r="135" spans="2:8" ht="17.649999999999999" x14ac:dyDescent="0.5">
      <c r="B135" s="243" t="s">
        <v>33</v>
      </c>
    </row>
    <row r="136" spans="2:8" ht="15" customHeight="1" x14ac:dyDescent="0.5">
      <c r="B136" s="238"/>
    </row>
    <row r="137" spans="2:8" ht="13.9" x14ac:dyDescent="0.4">
      <c r="B137" s="213" t="s">
        <v>140</v>
      </c>
      <c r="C137" s="217" t="s">
        <v>97</v>
      </c>
      <c r="H137" s="217"/>
    </row>
    <row r="138" spans="2:8" ht="13.9" x14ac:dyDescent="0.4">
      <c r="B138" s="218" t="s">
        <v>139</v>
      </c>
      <c r="C138" s="217" t="s">
        <v>98</v>
      </c>
      <c r="H138" s="217"/>
    </row>
    <row r="139" spans="2:8" x14ac:dyDescent="0.35">
      <c r="B139" s="218"/>
    </row>
    <row r="140" spans="2:8" ht="17.649999999999999" x14ac:dyDescent="0.5">
      <c r="B140" s="243" t="s">
        <v>34</v>
      </c>
    </row>
    <row r="141" spans="2:8" ht="17.649999999999999" x14ac:dyDescent="0.5">
      <c r="B141" s="238"/>
    </row>
    <row r="142" spans="2:8" ht="13.9" x14ac:dyDescent="0.4">
      <c r="B142" s="218" t="s">
        <v>139</v>
      </c>
      <c r="C142" s="217" t="s">
        <v>99</v>
      </c>
    </row>
    <row r="143" spans="2:8" x14ac:dyDescent="0.35">
      <c r="B143" s="218"/>
    </row>
    <row r="144" spans="2:8" ht="13.9" x14ac:dyDescent="0.4">
      <c r="B144" s="218" t="s">
        <v>139</v>
      </c>
      <c r="C144" s="217" t="s">
        <v>100</v>
      </c>
    </row>
    <row r="145" spans="2:6" x14ac:dyDescent="0.35">
      <c r="B145" s="218"/>
    </row>
    <row r="147" spans="2:6" x14ac:dyDescent="0.35">
      <c r="B147" s="247" t="s">
        <v>35</v>
      </c>
      <c r="C147" s="233"/>
      <c r="D147" s="233"/>
      <c r="E147" s="233"/>
      <c r="F147" s="233"/>
    </row>
    <row r="179" spans="2:11" ht="25.9" x14ac:dyDescent="0.6">
      <c r="B179" s="279" t="s">
        <v>141</v>
      </c>
      <c r="C179" s="279"/>
      <c r="D179" s="279"/>
      <c r="E179" s="279"/>
      <c r="F179" s="279"/>
      <c r="G179" s="279"/>
      <c r="H179" s="279"/>
      <c r="I179" s="279"/>
      <c r="J179" s="279"/>
      <c r="K179" s="279"/>
    </row>
    <row r="181" spans="2:11" ht="13.9" x14ac:dyDescent="0.4">
      <c r="B181" s="248" t="s">
        <v>38</v>
      </c>
    </row>
    <row r="182" spans="2:11" ht="13.9" x14ac:dyDescent="0.4">
      <c r="B182" s="219"/>
    </row>
    <row r="183" spans="2:11" ht="13.9" x14ac:dyDescent="0.4">
      <c r="B183" s="219"/>
    </row>
    <row r="184" spans="2:11" ht="13.9" x14ac:dyDescent="0.4">
      <c r="B184" s="219"/>
    </row>
    <row r="185" spans="2:11" ht="15.75" customHeight="1" x14ac:dyDescent="0.35">
      <c r="B185" s="280" t="s">
        <v>101</v>
      </c>
      <c r="C185" s="280"/>
      <c r="D185" s="280"/>
      <c r="E185" s="280"/>
      <c r="F185" s="280"/>
      <c r="G185" s="280"/>
      <c r="H185" s="280"/>
      <c r="I185" s="280"/>
      <c r="J185" s="280"/>
      <c r="K185" s="280"/>
    </row>
    <row r="186" spans="2:11" ht="25.5" customHeight="1" x14ac:dyDescent="0.35">
      <c r="B186" s="265" t="s">
        <v>142</v>
      </c>
      <c r="C186" s="265"/>
      <c r="D186" s="67" t="s">
        <v>143</v>
      </c>
      <c r="E186" s="265" t="s">
        <v>25</v>
      </c>
      <c r="F186" s="265"/>
      <c r="G186" s="265" t="s">
        <v>26</v>
      </c>
      <c r="H186" s="265"/>
      <c r="I186" s="67" t="s">
        <v>28</v>
      </c>
      <c r="J186" s="67" t="s">
        <v>29</v>
      </c>
      <c r="K186" s="67" t="s">
        <v>103</v>
      </c>
    </row>
    <row r="187" spans="2:11" ht="22.5" customHeight="1" x14ac:dyDescent="0.35">
      <c r="B187" s="277"/>
      <c r="C187" s="277"/>
      <c r="D187" s="281"/>
      <c r="E187" s="277"/>
      <c r="F187" s="277"/>
      <c r="G187" s="277"/>
      <c r="H187" s="277"/>
      <c r="I187" s="33"/>
      <c r="J187" s="33"/>
      <c r="K187" s="284"/>
    </row>
    <row r="188" spans="2:11" ht="22.5" customHeight="1" x14ac:dyDescent="0.35">
      <c r="B188" s="277"/>
      <c r="C188" s="277"/>
      <c r="D188" s="281"/>
      <c r="E188" s="281"/>
      <c r="F188" s="281"/>
      <c r="G188" s="281"/>
      <c r="H188" s="281"/>
      <c r="I188" s="33"/>
      <c r="J188" s="33"/>
      <c r="K188" s="285"/>
    </row>
    <row r="189" spans="2:11" ht="22.5" customHeight="1" x14ac:dyDescent="0.35">
      <c r="B189" s="277"/>
      <c r="C189" s="277"/>
      <c r="D189" s="281"/>
      <c r="E189" s="281"/>
      <c r="F189" s="281"/>
      <c r="G189" s="281"/>
      <c r="H189" s="281"/>
      <c r="I189" s="246"/>
      <c r="J189" s="246"/>
      <c r="K189" s="277"/>
    </row>
    <row r="190" spans="2:11" ht="22.5" customHeight="1" x14ac:dyDescent="0.35">
      <c r="B190" s="277"/>
      <c r="C190" s="277"/>
      <c r="D190" s="281"/>
      <c r="E190" s="277"/>
      <c r="F190" s="277"/>
      <c r="G190" s="282"/>
      <c r="H190" s="283"/>
      <c r="I190" s="246"/>
      <c r="J190" s="246"/>
      <c r="K190" s="277"/>
    </row>
    <row r="191" spans="2:11" ht="22.5" customHeight="1" x14ac:dyDescent="0.35">
      <c r="B191" s="277"/>
      <c r="C191" s="277"/>
      <c r="D191" s="281"/>
      <c r="E191" s="281"/>
      <c r="F191" s="281"/>
      <c r="G191" s="281"/>
      <c r="H191" s="281"/>
      <c r="I191" s="246"/>
      <c r="J191" s="246"/>
      <c r="K191" s="277"/>
    </row>
    <row r="192" spans="2:11" ht="13.9" x14ac:dyDescent="0.4">
      <c r="B192" s="219"/>
    </row>
    <row r="193" spans="2:3" ht="13.9" x14ac:dyDescent="0.4">
      <c r="B193" s="219"/>
    </row>
    <row r="194" spans="2:3" ht="13.9" x14ac:dyDescent="0.4">
      <c r="B194" s="219"/>
    </row>
    <row r="195" spans="2:3" ht="13.9" x14ac:dyDescent="0.4">
      <c r="B195" s="219"/>
    </row>
    <row r="196" spans="2:3" ht="13.9" x14ac:dyDescent="0.4">
      <c r="B196" s="248" t="s">
        <v>39</v>
      </c>
    </row>
    <row r="198" spans="2:3" ht="13.9" x14ac:dyDescent="0.4">
      <c r="C198" s="249" t="s">
        <v>144</v>
      </c>
    </row>
    <row r="199" spans="2:3" x14ac:dyDescent="0.35">
      <c r="C199" s="218"/>
    </row>
    <row r="200" spans="2:3" x14ac:dyDescent="0.35">
      <c r="C200" s="218"/>
    </row>
    <row r="201" spans="2:3" x14ac:dyDescent="0.35">
      <c r="C201" s="218"/>
    </row>
    <row r="202" spans="2:3" x14ac:dyDescent="0.35">
      <c r="C202" s="218"/>
    </row>
    <row r="203" spans="2:3" x14ac:dyDescent="0.35">
      <c r="C203" s="218"/>
    </row>
    <row r="204" spans="2:3" x14ac:dyDescent="0.35">
      <c r="C204" s="218"/>
    </row>
    <row r="205" spans="2:3" x14ac:dyDescent="0.35">
      <c r="C205" s="218"/>
    </row>
    <row r="206" spans="2:3" x14ac:dyDescent="0.35">
      <c r="C206" s="218"/>
    </row>
    <row r="207" spans="2:3" x14ac:dyDescent="0.35">
      <c r="C207" s="218"/>
    </row>
    <row r="208" spans="2:3" x14ac:dyDescent="0.35">
      <c r="C208" s="218"/>
    </row>
    <row r="209" spans="3:5" x14ac:dyDescent="0.35">
      <c r="C209" s="218"/>
    </row>
    <row r="210" spans="3:5" ht="13.9" x14ac:dyDescent="0.4">
      <c r="C210" s="249" t="s">
        <v>145</v>
      </c>
    </row>
    <row r="211" spans="3:5" x14ac:dyDescent="0.35">
      <c r="C211" s="218"/>
    </row>
    <row r="212" spans="3:5" x14ac:dyDescent="0.35">
      <c r="C212" s="218"/>
    </row>
    <row r="213" spans="3:5" ht="13.9" x14ac:dyDescent="0.4">
      <c r="C213" s="249" t="s">
        <v>146</v>
      </c>
    </row>
    <row r="214" spans="3:5" x14ac:dyDescent="0.35">
      <c r="C214" s="218"/>
    </row>
    <row r="216" spans="3:5" ht="13.9" x14ac:dyDescent="0.4">
      <c r="C216" s="249" t="s">
        <v>147</v>
      </c>
    </row>
    <row r="217" spans="3:5" x14ac:dyDescent="0.35">
      <c r="C217" s="218"/>
    </row>
    <row r="218" spans="3:5" x14ac:dyDescent="0.35">
      <c r="C218" s="218"/>
    </row>
    <row r="219" spans="3:5" ht="13.9" x14ac:dyDescent="0.4">
      <c r="C219" s="249" t="s">
        <v>148</v>
      </c>
    </row>
    <row r="220" spans="3:5" ht="13.9" x14ac:dyDescent="0.4">
      <c r="C220" s="219"/>
    </row>
    <row r="221" spans="3:5" x14ac:dyDescent="0.35">
      <c r="C221" s="218"/>
      <c r="E221" s="218" t="s">
        <v>149</v>
      </c>
    </row>
    <row r="226" spans="3:5" x14ac:dyDescent="0.35">
      <c r="C226" s="218" t="s">
        <v>150</v>
      </c>
    </row>
    <row r="227" spans="3:5" x14ac:dyDescent="0.35">
      <c r="C227" s="218" t="s">
        <v>151</v>
      </c>
    </row>
    <row r="228" spans="3:5" x14ac:dyDescent="0.35">
      <c r="C228" s="218" t="s">
        <v>152</v>
      </c>
    </row>
    <row r="229" spans="3:5" x14ac:dyDescent="0.35">
      <c r="E229" s="218"/>
    </row>
    <row r="230" spans="3:5" x14ac:dyDescent="0.35">
      <c r="E230" s="218"/>
    </row>
    <row r="231" spans="3:5" x14ac:dyDescent="0.35">
      <c r="E231" s="218"/>
    </row>
    <row r="232" spans="3:5" x14ac:dyDescent="0.35">
      <c r="E232" s="218"/>
    </row>
    <row r="233" spans="3:5" x14ac:dyDescent="0.35">
      <c r="E233" s="218"/>
    </row>
    <row r="234" spans="3:5" x14ac:dyDescent="0.35">
      <c r="E234" s="218"/>
    </row>
    <row r="235" spans="3:5" x14ac:dyDescent="0.35">
      <c r="E235" s="218"/>
    </row>
    <row r="236" spans="3:5" x14ac:dyDescent="0.35">
      <c r="E236" s="218"/>
    </row>
    <row r="237" spans="3:5" x14ac:dyDescent="0.35">
      <c r="E237" s="218"/>
    </row>
    <row r="238" spans="3:5" x14ac:dyDescent="0.35">
      <c r="E238" s="218"/>
    </row>
    <row r="239" spans="3:5" x14ac:dyDescent="0.35">
      <c r="E239" s="218"/>
    </row>
    <row r="240" spans="3:5" x14ac:dyDescent="0.35">
      <c r="E240" s="218"/>
    </row>
    <row r="241" spans="2:5" x14ac:dyDescent="0.35">
      <c r="E241" s="218"/>
    </row>
    <row r="242" spans="2:5" x14ac:dyDescent="0.35">
      <c r="E242" s="218"/>
    </row>
    <row r="243" spans="2:5" x14ac:dyDescent="0.35">
      <c r="E243" s="218"/>
    </row>
    <row r="244" spans="2:5" x14ac:dyDescent="0.35">
      <c r="E244" s="218"/>
    </row>
    <row r="246" spans="2:5" ht="13.9" x14ac:dyDescent="0.4">
      <c r="B246" s="248" t="s">
        <v>36</v>
      </c>
    </row>
    <row r="248" spans="2:5" x14ac:dyDescent="0.35">
      <c r="C248" s="218"/>
    </row>
    <row r="249" spans="2:5" x14ac:dyDescent="0.35">
      <c r="C249" s="218"/>
    </row>
    <row r="250" spans="2:5" x14ac:dyDescent="0.35">
      <c r="C250" s="218"/>
    </row>
    <row r="251" spans="2:5" x14ac:dyDescent="0.35">
      <c r="C251" s="218"/>
    </row>
    <row r="252" spans="2:5" x14ac:dyDescent="0.35">
      <c r="E252" s="218"/>
    </row>
    <row r="253" spans="2:5" ht="13.9" x14ac:dyDescent="0.4">
      <c r="B253" s="219"/>
    </row>
    <row r="254" spans="2:5" ht="13.9" x14ac:dyDescent="0.4">
      <c r="B254" s="248" t="s">
        <v>37</v>
      </c>
    </row>
    <row r="291" spans="3:11" ht="24" customHeight="1" x14ac:dyDescent="0.5">
      <c r="C291" s="264" t="s">
        <v>153</v>
      </c>
      <c r="D291" s="264"/>
      <c r="E291" s="264"/>
      <c r="F291" s="264"/>
      <c r="G291" s="264"/>
      <c r="H291" s="264"/>
      <c r="I291" s="264"/>
      <c r="J291" s="264"/>
      <c r="K291" s="264"/>
    </row>
  </sheetData>
  <mergeCells count="71">
    <mergeCell ref="C291:K291"/>
    <mergeCell ref="E188:F188"/>
    <mergeCell ref="G188:H188"/>
    <mergeCell ref="E189:F189"/>
    <mergeCell ref="G189:H189"/>
    <mergeCell ref="K189:K191"/>
    <mergeCell ref="E190:F190"/>
    <mergeCell ref="G190:H190"/>
    <mergeCell ref="E191:F191"/>
    <mergeCell ref="G191:H191"/>
    <mergeCell ref="B187:C191"/>
    <mergeCell ref="D187:D191"/>
    <mergeCell ref="E187:F187"/>
    <mergeCell ref="G187:H187"/>
    <mergeCell ref="K187:K188"/>
    <mergeCell ref="B179:K179"/>
    <mergeCell ref="B185:K185"/>
    <mergeCell ref="B186:C186"/>
    <mergeCell ref="E186:F186"/>
    <mergeCell ref="G186:H186"/>
    <mergeCell ref="D104:F104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102:F102"/>
    <mergeCell ref="D103:F103"/>
    <mergeCell ref="C62:D62"/>
    <mergeCell ref="G62:H62"/>
    <mergeCell ref="C63:D63"/>
    <mergeCell ref="G63:H63"/>
    <mergeCell ref="D89:F89"/>
    <mergeCell ref="C64:D64"/>
    <mergeCell ref="G64:H64"/>
    <mergeCell ref="C65:D65"/>
    <mergeCell ref="G65:H65"/>
    <mergeCell ref="B71:C71"/>
    <mergeCell ref="E71:J71"/>
    <mergeCell ref="B72:C72"/>
    <mergeCell ref="B73:C73"/>
    <mergeCell ref="B77:K77"/>
    <mergeCell ref="D87:F87"/>
    <mergeCell ref="D88:F88"/>
    <mergeCell ref="G46:G47"/>
    <mergeCell ref="H46:H47"/>
    <mergeCell ref="I46:I47"/>
    <mergeCell ref="J46:K46"/>
    <mergeCell ref="C61:D61"/>
    <mergeCell ref="G61:H61"/>
    <mergeCell ref="B46:B47"/>
    <mergeCell ref="C46:C47"/>
    <mergeCell ref="D46:D47"/>
    <mergeCell ref="E46:E47"/>
    <mergeCell ref="F46:F47"/>
    <mergeCell ref="B10:K10"/>
    <mergeCell ref="D14:E14"/>
    <mergeCell ref="B18:K18"/>
    <mergeCell ref="B37:B38"/>
    <mergeCell ref="C37:C38"/>
    <mergeCell ref="D37:D38"/>
    <mergeCell ref="E37:E38"/>
    <mergeCell ref="F37:F38"/>
    <mergeCell ref="G37:G38"/>
    <mergeCell ref="H37:H38"/>
    <mergeCell ref="I37:K37"/>
    <mergeCell ref="D12:H12"/>
  </mergeCells>
  <printOptions horizontalCentered="1"/>
  <pageMargins left="0.59055118110236227" right="0" top="0.59055118110236227" bottom="0.59055118110236227" header="0.31496062992125984" footer="0.19685039370078741"/>
  <pageSetup paperSize="9" scale="59" fitToHeight="0" orientation="portrait" r:id="rId1"/>
  <headerFooter>
    <oddHeader>&amp;L&amp;"Imprint MT Shadow,Gras"&amp;44&amp;K03-002Cga_Agy&amp;28
&amp;"Times New Roman,Normal"&amp;12&amp;K000000Centre de Gestion Agréé AGY
CC: 07 31 146 C
Régime d'imposition: Réel Normal
Centre des Impôts de Yopougon II</oddHeader>
    <oddFooter>&amp;CCentre de Gestion Agréé AGY (CGA_AGY) 
21 BP 2314 Abidjan 21; e-mail: cga_agy@live.fr; Tél: 23 52 66 23 / 01 74 43 93 / 41 12 04 02
Siège social: Yopougon-Maroc Les Elysées; RCCM: CI-YOP-2007-B-1117&amp;R&amp;P/&amp;N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T218"/>
  <sheetViews>
    <sheetView topLeftCell="A6" workbookViewId="0">
      <selection activeCell="A11" sqref="A11"/>
    </sheetView>
  </sheetViews>
  <sheetFormatPr baseColWidth="10" defaultColWidth="11.3984375" defaultRowHeight="14.25" x14ac:dyDescent="0.45"/>
  <cols>
    <col min="1" max="1" width="5.1328125" customWidth="1"/>
    <col min="2" max="2" width="21" customWidth="1"/>
    <col min="3" max="3" width="9.265625" customWidth="1"/>
    <col min="4" max="4" width="12.59765625" customWidth="1"/>
    <col min="5" max="5" width="13.265625" customWidth="1"/>
    <col min="6" max="6" width="12.86328125" customWidth="1"/>
    <col min="7" max="7" width="11.73046875" customWidth="1"/>
    <col min="8" max="8" width="40.59765625" customWidth="1"/>
    <col min="9" max="9" width="13" customWidth="1"/>
    <col min="10" max="10" width="11.59765625" customWidth="1"/>
    <col min="11" max="11" width="9.3984375" customWidth="1"/>
    <col min="12" max="12" width="14.1328125" customWidth="1"/>
    <col min="13" max="13" width="13.59765625" customWidth="1"/>
    <col min="14" max="14" width="14.59765625" customWidth="1"/>
    <col min="15" max="15" width="13" customWidth="1"/>
    <col min="16" max="16" width="11.59765625" customWidth="1"/>
    <col min="17" max="17" width="12.1328125" customWidth="1"/>
    <col min="18" max="18" width="14.59765625" customWidth="1"/>
    <col min="19" max="19" width="11.86328125" customWidth="1"/>
    <col min="20" max="20" width="16.1328125" customWidth="1"/>
  </cols>
  <sheetData>
    <row r="3" spans="1:20" ht="11.25" customHeight="1" x14ac:dyDescent="0.45"/>
    <row r="4" spans="1:20" ht="11.25" customHeight="1" x14ac:dyDescent="0.5">
      <c r="A4" s="1"/>
    </row>
    <row r="5" spans="1:20" ht="11.25" customHeight="1" x14ac:dyDescent="0.45">
      <c r="A5" s="3"/>
    </row>
    <row r="6" spans="1:20" ht="11.25" customHeight="1" x14ac:dyDescent="0.45">
      <c r="A6" s="3"/>
    </row>
    <row r="7" spans="1:20" x14ac:dyDescent="0.45">
      <c r="A7" s="2"/>
    </row>
    <row r="10" spans="1:20" ht="15.4" x14ac:dyDescent="0.45">
      <c r="A10" s="7" t="s">
        <v>154</v>
      </c>
    </row>
    <row r="11" spans="1:20" ht="18" x14ac:dyDescent="0.55000000000000004">
      <c r="A11" s="7"/>
      <c r="H11" s="286" t="inlineStr">
        <is>
          <t xml:space="preserve">CDI ${tax_office_name}</t>
        </is>
      </c>
      <c r="I11" s="286"/>
    </row>
    <row r="13" spans="1:20" ht="21" customHeight="1" x14ac:dyDescent="0.45">
      <c r="A13" s="287" t="s">
        <v>6</v>
      </c>
      <c r="B13" s="265" t="s">
        <v>40</v>
      </c>
      <c r="C13" s="265" t="s">
        <v>41</v>
      </c>
      <c r="D13" s="265" t="s">
        <v>42</v>
      </c>
      <c r="E13" s="287" t="s">
        <v>86</v>
      </c>
      <c r="F13" s="265" t="s">
        <v>43</v>
      </c>
      <c r="G13" s="265" t="s">
        <v>44</v>
      </c>
      <c r="H13" s="267" t="s">
        <v>45</v>
      </c>
      <c r="I13" s="265" t="s">
        <v>46</v>
      </c>
      <c r="J13" s="265"/>
      <c r="K13" s="265"/>
      <c r="L13" s="265"/>
      <c r="M13" s="265"/>
      <c r="N13" s="265"/>
      <c r="O13" s="290" t="s">
        <v>47</v>
      </c>
      <c r="P13" s="291"/>
      <c r="Q13" s="291"/>
      <c r="R13" s="291"/>
      <c r="S13" s="291"/>
      <c r="T13" s="292"/>
    </row>
    <row r="14" spans="1:20" ht="17.25" customHeight="1" x14ac:dyDescent="0.45">
      <c r="A14" s="288"/>
      <c r="B14" s="265"/>
      <c r="C14" s="265"/>
      <c r="D14" s="265"/>
      <c r="E14" s="288"/>
      <c r="F14" s="265"/>
      <c r="G14" s="265"/>
      <c r="H14" s="267"/>
      <c r="I14" s="265" t="s">
        <v>49</v>
      </c>
      <c r="J14" s="265"/>
      <c r="K14" s="265" t="s">
        <v>50</v>
      </c>
      <c r="L14" s="265"/>
      <c r="M14" s="265"/>
      <c r="N14" s="265"/>
      <c r="O14" s="265" t="s">
        <v>49</v>
      </c>
      <c r="P14" s="265"/>
      <c r="Q14" s="265" t="s">
        <v>50</v>
      </c>
      <c r="R14" s="265"/>
      <c r="S14" s="265"/>
      <c r="T14" s="265"/>
    </row>
    <row r="15" spans="1:20" ht="34.5" customHeight="1" x14ac:dyDescent="0.45">
      <c r="A15" s="289"/>
      <c r="B15" s="265"/>
      <c r="C15" s="265"/>
      <c r="D15" s="265"/>
      <c r="E15" s="289"/>
      <c r="F15" s="265"/>
      <c r="G15" s="265"/>
      <c r="H15" s="267"/>
      <c r="I15" s="67" t="s">
        <v>51</v>
      </c>
      <c r="J15" s="67" t="s">
        <v>52</v>
      </c>
      <c r="K15" s="67" t="s">
        <v>53</v>
      </c>
      <c r="L15" s="67" t="s">
        <v>54</v>
      </c>
      <c r="M15" s="67" t="s">
        <v>55</v>
      </c>
      <c r="N15" s="67" t="s">
        <v>56</v>
      </c>
      <c r="O15" s="67" t="s">
        <v>51</v>
      </c>
      <c r="P15" s="67" t="s">
        <v>52</v>
      </c>
      <c r="Q15" s="67" t="s">
        <v>53</v>
      </c>
      <c r="R15" s="67" t="s">
        <v>54</v>
      </c>
      <c r="S15" s="67" t="s">
        <v>55</v>
      </c>
      <c r="T15" s="67" t="s">
        <v>56</v>
      </c>
    </row>
    <row r="16" spans="1:20" s="95" customFormat="1" ht="23.25" customHeight="1" x14ac:dyDescent="0.45">
      <c r="A16" s="81">
        <v>1</v>
      </c>
      <c r="B16" s="82" t="inlineStr">
        <is>
          <t xml:space="preserve">${member_name}</t>
        </is>
      </c>
      <c r="C16" s="83" t="inlineStr">
        <is>
          <t xml:space="preserve">${member_ncc}</t>
        </is>
      </c>
      <c r="D16" s="84" t="inlineStr">
        <is>
          <t xml:space="preserve">${member_activity}</t>
        </is>
      </c>
      <c r="E16" s="84" t="inlineStr">
        <is>
          <t xml:space="preserve">${member_address}</t>
        </is>
      </c>
      <c r="F16" s="85" t="inlineStr">
        <is>
          <t xml:space="preserve">${membership_number_date}</t>
        </is>
      </c>
      <c r="G16" s="84" t="inlineStr">
        <is>
          <t xml:space="preserve">${member_section_parcel}</t>
        </is>
      </c>
      <c r="H16" s="86" t="inlineStr">
        <is>
          <t xml:space="preserve">${member_turnover}</t>
        </is>
      </c>
      <c r="I16" s="87">
        <f>+J16*2</f>
      </c>
      <c r="J16" s="88"/>
      <c r="K16" s="87"/>
      <c r="L16" s="89"/>
      <c r="M16" s="87"/>
      <c r="N16" s="90"/>
      <c r="O16" s="87">
        <f>+P16*2</f>
      </c>
      <c r="P16" s="87"/>
      <c r="Q16" s="91"/>
      <c r="R16" s="92"/>
      <c r="S16" s="93"/>
      <c r="T16" s="94">
        <f>+R16*0.0833333333333333*4</f>
      </c>
    </row>
    <row r="17" spans="1:20" ht="25.5" customHeight="1" x14ac:dyDescent="0.45">
      <c r="A17" s="33">
        <v>2</v>
      </c>
      <c r="B17" s="96"/>
      <c r="C17" s="97"/>
      <c r="D17" s="84"/>
      <c r="E17" s="84"/>
      <c r="F17" s="98"/>
      <c r="G17" s="84"/>
      <c r="H17" s="99"/>
      <c r="I17" s="87">
        <f t="shared" ref="I17:I34" si="0">+J17*2</f>
      </c>
      <c r="J17" s="100"/>
      <c r="K17" s="50"/>
      <c r="L17" s="101"/>
      <c r="M17" s="70"/>
      <c r="N17" s="102"/>
      <c r="O17" s="87">
        <f t="shared" ref="O17:O34" si="1">+P17*2</f>
      </c>
      <c r="P17" s="70"/>
      <c r="Q17" s="70"/>
      <c r="R17" s="50"/>
      <c r="S17" s="50"/>
      <c r="T17" s="103">
        <f t="shared" ref="T17:T22" si="2">+R17*0.0833333333333333*4</f>
      </c>
    </row>
    <row r="18" spans="1:20" ht="24.75" customHeight="1" x14ac:dyDescent="0.45">
      <c r="A18" s="33">
        <v>3</v>
      </c>
      <c r="B18" s="104"/>
      <c r="C18" s="105"/>
      <c r="D18" s="106"/>
      <c r="E18" s="107"/>
      <c r="F18" s="108"/>
      <c r="G18" s="84"/>
      <c r="H18" s="99"/>
      <c r="I18" s="87">
        <f t="shared" si="0"/>
      </c>
      <c r="J18" s="100"/>
      <c r="K18" s="50"/>
      <c r="L18" s="101"/>
      <c r="M18" s="70"/>
      <c r="N18" s="102"/>
      <c r="O18" s="87">
        <f t="shared" si="1"/>
      </c>
      <c r="P18" s="70"/>
      <c r="Q18" s="70"/>
      <c r="R18" s="50"/>
      <c r="S18" s="50"/>
      <c r="T18" s="103">
        <f t="shared" si="2"/>
      </c>
    </row>
    <row r="19" spans="1:20" ht="24.75" customHeight="1" x14ac:dyDescent="0.45">
      <c r="A19" s="81">
        <v>4</v>
      </c>
      <c r="B19" s="109"/>
      <c r="C19" s="152"/>
      <c r="D19" s="24"/>
      <c r="E19" s="24"/>
      <c r="F19" s="110"/>
      <c r="G19" s="24"/>
      <c r="H19" s="21"/>
      <c r="I19" s="87">
        <f t="shared" si="0"/>
      </c>
      <c r="J19" s="100"/>
      <c r="K19" s="111"/>
      <c r="L19" s="111"/>
      <c r="M19" s="70"/>
      <c r="N19" s="102"/>
      <c r="O19" s="87">
        <f t="shared" si="1"/>
      </c>
      <c r="P19" s="70"/>
      <c r="Q19" s="111"/>
      <c r="R19" s="111"/>
      <c r="S19" s="50"/>
      <c r="T19" s="103">
        <f t="shared" si="2"/>
      </c>
    </row>
    <row r="20" spans="1:20" ht="24" customHeight="1" x14ac:dyDescent="0.45">
      <c r="A20" s="33">
        <v>5</v>
      </c>
      <c r="B20" s="112"/>
      <c r="C20" s="22"/>
      <c r="D20" s="24"/>
      <c r="E20" s="24"/>
      <c r="F20" s="110"/>
      <c r="G20" s="24"/>
      <c r="H20" s="21"/>
      <c r="I20" s="87">
        <f t="shared" si="0"/>
      </c>
      <c r="J20" s="100"/>
      <c r="K20" s="113"/>
      <c r="L20" s="101"/>
      <c r="M20" s="70"/>
      <c r="N20" s="102"/>
      <c r="O20" s="87">
        <f t="shared" si="1"/>
      </c>
      <c r="P20" s="70"/>
      <c r="Q20" s="111"/>
      <c r="R20" s="111"/>
      <c r="S20" s="50"/>
      <c r="T20" s="103">
        <f t="shared" si="2"/>
      </c>
    </row>
    <row r="21" spans="1:20" ht="24" customHeight="1" x14ac:dyDescent="0.45">
      <c r="A21" s="33">
        <v>6</v>
      </c>
      <c r="B21" s="114"/>
      <c r="C21" s="105"/>
      <c r="D21" s="24"/>
      <c r="E21" s="115"/>
      <c r="F21" s="110"/>
      <c r="G21" s="116"/>
      <c r="H21" s="21"/>
      <c r="I21" s="87">
        <f t="shared" si="0"/>
      </c>
      <c r="J21" s="100"/>
      <c r="K21" s="70"/>
      <c r="L21" s="101"/>
      <c r="M21" s="70"/>
      <c r="N21" s="102"/>
      <c r="O21" s="87">
        <f t="shared" si="1"/>
      </c>
      <c r="P21" s="70"/>
      <c r="Q21" s="50"/>
      <c r="R21" s="117"/>
      <c r="S21" s="50"/>
      <c r="T21" s="103">
        <f t="shared" si="2"/>
      </c>
    </row>
    <row r="22" spans="1:20" ht="20.25" customHeight="1" x14ac:dyDescent="0.45">
      <c r="A22" s="81">
        <v>7</v>
      </c>
      <c r="B22" s="112"/>
      <c r="C22" s="22"/>
      <c r="D22" s="24"/>
      <c r="E22" s="24"/>
      <c r="F22" s="118"/>
      <c r="G22" s="119"/>
      <c r="H22" s="21"/>
      <c r="I22" s="87">
        <f t="shared" si="0"/>
      </c>
      <c r="J22" s="100"/>
      <c r="K22" s="111"/>
      <c r="L22" s="101"/>
      <c r="M22" s="70"/>
      <c r="N22" s="102"/>
      <c r="O22" s="87">
        <f t="shared" si="1"/>
      </c>
      <c r="P22" s="70"/>
      <c r="Q22" s="70"/>
      <c r="R22" s="111"/>
      <c r="S22" s="50"/>
      <c r="T22" s="103">
        <f t="shared" si="2"/>
      </c>
    </row>
    <row r="23" spans="1:20" ht="20.25" customHeight="1" x14ac:dyDescent="0.45">
      <c r="A23" s="81">
        <v>8</v>
      </c>
      <c r="B23" s="112"/>
      <c r="C23" s="22"/>
      <c r="D23" s="24"/>
      <c r="E23" s="24"/>
      <c r="F23" s="118"/>
      <c r="G23" s="119"/>
      <c r="H23" s="21"/>
      <c r="I23" s="87">
        <f t="shared" si="0"/>
      </c>
      <c r="J23" s="100"/>
      <c r="K23" s="111"/>
      <c r="L23" s="101"/>
      <c r="M23" s="70"/>
      <c r="N23" s="102"/>
      <c r="O23" s="87">
        <f t="shared" si="1"/>
      </c>
      <c r="P23" s="70"/>
      <c r="Q23" s="70"/>
      <c r="R23" s="111"/>
      <c r="S23" s="50"/>
      <c r="T23" s="103"/>
    </row>
    <row r="24" spans="1:20" ht="20.25" customHeight="1" x14ac:dyDescent="0.45">
      <c r="A24" s="81">
        <v>9</v>
      </c>
      <c r="B24" s="112"/>
      <c r="C24" s="22"/>
      <c r="D24" s="24"/>
      <c r="E24" s="24"/>
      <c r="F24" s="118"/>
      <c r="G24" s="119"/>
      <c r="H24" s="21"/>
      <c r="I24" s="87">
        <f t="shared" si="0"/>
      </c>
      <c r="J24" s="100"/>
      <c r="K24" s="111"/>
      <c r="L24" s="101"/>
      <c r="M24" s="70"/>
      <c r="N24" s="102"/>
      <c r="O24" s="87">
        <f t="shared" si="1"/>
      </c>
      <c r="P24" s="70"/>
      <c r="Q24" s="70"/>
      <c r="R24" s="111"/>
      <c r="S24" s="50"/>
      <c r="T24" s="103"/>
    </row>
    <row r="25" spans="1:20" ht="20.25" customHeight="1" x14ac:dyDescent="0.45">
      <c r="A25" s="81">
        <v>10</v>
      </c>
      <c r="B25" s="112"/>
      <c r="C25" s="22"/>
      <c r="D25" s="24"/>
      <c r="E25" s="24"/>
      <c r="F25" s="118"/>
      <c r="G25" s="119"/>
      <c r="H25" s="21"/>
      <c r="I25" s="87">
        <f t="shared" si="0"/>
      </c>
      <c r="J25" s="100"/>
      <c r="K25" s="111"/>
      <c r="L25" s="101"/>
      <c r="M25" s="70"/>
      <c r="N25" s="102"/>
      <c r="O25" s="87">
        <f t="shared" si="1"/>
      </c>
      <c r="P25" s="70"/>
      <c r="Q25" s="70"/>
      <c r="R25" s="111"/>
      <c r="S25" s="50"/>
      <c r="T25" s="103"/>
    </row>
    <row r="26" spans="1:20" ht="20.25" customHeight="1" x14ac:dyDescent="0.45">
      <c r="A26" s="81">
        <v>11</v>
      </c>
      <c r="B26" s="112"/>
      <c r="C26" s="22"/>
      <c r="D26" s="24"/>
      <c r="E26" s="24"/>
      <c r="F26" s="118"/>
      <c r="G26" s="119"/>
      <c r="H26" s="21"/>
      <c r="I26" s="87">
        <f t="shared" si="0"/>
      </c>
      <c r="J26" s="100"/>
      <c r="K26" s="111"/>
      <c r="L26" s="101"/>
      <c r="M26" s="70"/>
      <c r="N26" s="102"/>
      <c r="O26" s="87">
        <f t="shared" si="1"/>
      </c>
      <c r="P26" s="70"/>
      <c r="Q26" s="70"/>
      <c r="R26" s="111"/>
      <c r="S26" s="50"/>
      <c r="T26" s="103"/>
    </row>
    <row r="27" spans="1:20" ht="20.25" customHeight="1" x14ac:dyDescent="0.45">
      <c r="A27" s="81">
        <v>12</v>
      </c>
      <c r="B27" s="112"/>
      <c r="C27" s="22"/>
      <c r="D27" s="24"/>
      <c r="E27" s="24"/>
      <c r="F27" s="118"/>
      <c r="G27" s="119"/>
      <c r="H27" s="21"/>
      <c r="I27" s="87">
        <f t="shared" si="0"/>
      </c>
      <c r="J27" s="100"/>
      <c r="K27" s="111"/>
      <c r="L27" s="101"/>
      <c r="M27" s="70"/>
      <c r="N27" s="102"/>
      <c r="O27" s="87">
        <f t="shared" si="1"/>
      </c>
      <c r="P27" s="70"/>
      <c r="Q27" s="70"/>
      <c r="R27" s="111"/>
      <c r="S27" s="50"/>
      <c r="T27" s="103"/>
    </row>
    <row r="28" spans="1:20" ht="20.25" customHeight="1" x14ac:dyDescent="0.45">
      <c r="A28" s="81">
        <v>13</v>
      </c>
      <c r="B28" s="112"/>
      <c r="C28" s="22"/>
      <c r="D28" s="24"/>
      <c r="E28" s="24"/>
      <c r="F28" s="118"/>
      <c r="G28" s="119"/>
      <c r="H28" s="21"/>
      <c r="I28" s="87">
        <f t="shared" si="0"/>
      </c>
      <c r="J28" s="100"/>
      <c r="K28" s="111"/>
      <c r="L28" s="101"/>
      <c r="M28" s="70"/>
      <c r="N28" s="102"/>
      <c r="O28" s="87">
        <f t="shared" si="1"/>
      </c>
      <c r="P28" s="70"/>
      <c r="Q28" s="70"/>
      <c r="R28" s="111"/>
      <c r="S28" s="50"/>
      <c r="T28" s="103"/>
    </row>
    <row r="29" spans="1:20" ht="20.25" customHeight="1" x14ac:dyDescent="0.45">
      <c r="A29" s="81">
        <v>14</v>
      </c>
      <c r="B29" s="112"/>
      <c r="C29" s="22"/>
      <c r="D29" s="24"/>
      <c r="E29" s="24"/>
      <c r="F29" s="118"/>
      <c r="G29" s="119"/>
      <c r="H29" s="21"/>
      <c r="I29" s="87">
        <f t="shared" si="0"/>
      </c>
      <c r="J29" s="100"/>
      <c r="K29" s="111"/>
      <c r="L29" s="101"/>
      <c r="M29" s="70"/>
      <c r="N29" s="102"/>
      <c r="O29" s="87">
        <f t="shared" si="1"/>
      </c>
      <c r="P29" s="70"/>
      <c r="Q29" s="70"/>
      <c r="R29" s="111"/>
      <c r="S29" s="50"/>
      <c r="T29" s="103"/>
    </row>
    <row r="30" spans="1:20" ht="20.25" customHeight="1" x14ac:dyDescent="0.45">
      <c r="A30" s="81">
        <v>15</v>
      </c>
      <c r="B30" s="112"/>
      <c r="C30" s="22"/>
      <c r="D30" s="24"/>
      <c r="E30" s="24"/>
      <c r="F30" s="118"/>
      <c r="G30" s="119"/>
      <c r="H30" s="21"/>
      <c r="I30" s="87">
        <f t="shared" si="0"/>
      </c>
      <c r="J30" s="100"/>
      <c r="K30" s="111"/>
      <c r="L30" s="101"/>
      <c r="M30" s="70"/>
      <c r="N30" s="102"/>
      <c r="O30" s="87">
        <f t="shared" si="1"/>
      </c>
      <c r="P30" s="70"/>
      <c r="Q30" s="70"/>
      <c r="R30" s="111"/>
      <c r="S30" s="50"/>
      <c r="T30" s="103"/>
    </row>
    <row r="31" spans="1:20" ht="20.25" customHeight="1" x14ac:dyDescent="0.45">
      <c r="A31" s="81">
        <v>16</v>
      </c>
      <c r="B31" s="112"/>
      <c r="C31" s="22"/>
      <c r="D31" s="24"/>
      <c r="E31" s="24"/>
      <c r="F31" s="118"/>
      <c r="G31" s="119"/>
      <c r="H31" s="21"/>
      <c r="I31" s="87">
        <f t="shared" si="0"/>
      </c>
      <c r="J31" s="100"/>
      <c r="K31" s="111"/>
      <c r="L31" s="101"/>
      <c r="M31" s="70"/>
      <c r="N31" s="102"/>
      <c r="O31" s="87">
        <f t="shared" si="1"/>
      </c>
      <c r="P31" s="70"/>
      <c r="Q31" s="70"/>
      <c r="R31" s="111"/>
      <c r="S31" s="50"/>
      <c r="T31" s="103"/>
    </row>
    <row r="32" spans="1:20" ht="20.25" customHeight="1" x14ac:dyDescent="0.45">
      <c r="A32" s="81">
        <v>17</v>
      </c>
      <c r="B32" s="112"/>
      <c r="C32" s="22"/>
      <c r="D32" s="24"/>
      <c r="E32" s="24"/>
      <c r="F32" s="118"/>
      <c r="G32" s="119"/>
      <c r="H32" s="21"/>
      <c r="I32" s="87">
        <f t="shared" si="0"/>
      </c>
      <c r="J32" s="100"/>
      <c r="K32" s="111"/>
      <c r="L32" s="101"/>
      <c r="M32" s="70"/>
      <c r="N32" s="102"/>
      <c r="O32" s="87">
        <f t="shared" si="1"/>
      </c>
      <c r="P32" s="70"/>
      <c r="Q32" s="70"/>
      <c r="R32" s="111"/>
      <c r="S32" s="50"/>
      <c r="T32" s="103"/>
    </row>
    <row r="33" spans="1:20" ht="20.25" customHeight="1" x14ac:dyDescent="0.45">
      <c r="A33" s="81">
        <v>18</v>
      </c>
      <c r="B33" s="112"/>
      <c r="C33" s="22"/>
      <c r="D33" s="24"/>
      <c r="E33" s="24"/>
      <c r="F33" s="118"/>
      <c r="G33" s="119"/>
      <c r="H33" s="21"/>
      <c r="I33" s="87">
        <f t="shared" si="0"/>
      </c>
      <c r="J33" s="100"/>
      <c r="K33" s="111"/>
      <c r="L33" s="101"/>
      <c r="M33" s="70"/>
      <c r="N33" s="102"/>
      <c r="O33" s="87">
        <f t="shared" si="1"/>
      </c>
      <c r="P33" s="70"/>
      <c r="Q33" s="70"/>
      <c r="R33" s="111"/>
      <c r="S33" s="50"/>
      <c r="T33" s="103"/>
    </row>
    <row r="34" spans="1:20" ht="20.25" customHeight="1" x14ac:dyDescent="0.45">
      <c r="A34" s="81">
        <v>19</v>
      </c>
      <c r="B34" s="112"/>
      <c r="C34" s="22"/>
      <c r="D34" s="24"/>
      <c r="E34" s="24"/>
      <c r="F34" s="118"/>
      <c r="G34" s="119"/>
      <c r="H34" s="21"/>
      <c r="I34" s="87">
        <f t="shared" si="0"/>
      </c>
      <c r="J34" s="100"/>
      <c r="K34" s="111"/>
      <c r="L34" s="101"/>
      <c r="M34" s="70"/>
      <c r="N34" s="102"/>
      <c r="O34" s="87">
        <f t="shared" si="1"/>
      </c>
      <c r="P34" s="70"/>
      <c r="Q34" s="70"/>
      <c r="R34" s="111"/>
      <c r="S34" s="50"/>
      <c r="T34" s="103"/>
    </row>
    <row r="35" spans="1:20" ht="20.25" customHeight="1" x14ac:dyDescent="0.45">
      <c r="A35" s="81"/>
      <c r="B35" s="112"/>
      <c r="C35" s="22"/>
      <c r="D35" s="24"/>
      <c r="E35" s="24"/>
      <c r="F35" s="118"/>
      <c r="G35" s="119"/>
      <c r="H35" s="21"/>
      <c r="I35" s="50"/>
      <c r="J35" s="100"/>
      <c r="K35" s="111"/>
      <c r="L35" s="101"/>
      <c r="M35" s="70"/>
      <c r="N35" s="102"/>
      <c r="O35" s="70"/>
      <c r="P35" s="70"/>
      <c r="Q35" s="70"/>
      <c r="R35" s="111"/>
      <c r="S35" s="50"/>
      <c r="T35" s="103"/>
    </row>
    <row r="36" spans="1:20" ht="20.25" customHeight="1" x14ac:dyDescent="0.45">
      <c r="A36" s="81"/>
      <c r="B36" s="112"/>
      <c r="C36" s="22"/>
      <c r="D36" s="24"/>
      <c r="E36" s="24"/>
      <c r="F36" s="118"/>
      <c r="G36" s="119"/>
      <c r="H36" s="21"/>
      <c r="I36" s="50"/>
      <c r="J36" s="100"/>
      <c r="K36" s="111"/>
      <c r="L36" s="101"/>
      <c r="M36" s="70"/>
      <c r="N36" s="102"/>
      <c r="O36" s="70"/>
      <c r="P36" s="70"/>
      <c r="Q36" s="70"/>
      <c r="R36" s="111"/>
      <c r="S36" s="50"/>
      <c r="T36" s="103"/>
    </row>
    <row r="37" spans="1:20" ht="20.25" customHeight="1" x14ac:dyDescent="0.45">
      <c r="A37" s="81"/>
      <c r="B37" s="112"/>
      <c r="C37" s="22"/>
      <c r="D37" s="24"/>
      <c r="E37" s="24"/>
      <c r="F37" s="118"/>
      <c r="G37" s="119"/>
      <c r="H37" s="21"/>
      <c r="I37" s="50"/>
      <c r="J37" s="100"/>
      <c r="K37" s="111"/>
      <c r="L37" s="101"/>
      <c r="M37" s="70"/>
      <c r="N37" s="102"/>
      <c r="O37" s="70"/>
      <c r="P37" s="70"/>
      <c r="Q37" s="70"/>
      <c r="R37" s="111"/>
      <c r="S37" s="50"/>
      <c r="T37" s="103"/>
    </row>
    <row r="38" spans="1:20" ht="20.25" customHeight="1" x14ac:dyDescent="0.45">
      <c r="A38" s="81"/>
      <c r="B38" s="112"/>
      <c r="C38" s="22"/>
      <c r="D38" s="24"/>
      <c r="E38" s="24"/>
      <c r="F38" s="118"/>
      <c r="G38" s="119"/>
      <c r="H38" s="21"/>
      <c r="I38" s="50"/>
      <c r="J38" s="100"/>
      <c r="K38" s="111"/>
      <c r="L38" s="101"/>
      <c r="M38" s="70"/>
      <c r="N38" s="102"/>
      <c r="O38" s="70"/>
      <c r="P38" s="70"/>
      <c r="Q38" s="70"/>
      <c r="R38" s="111"/>
      <c r="S38" s="50"/>
      <c r="T38" s="103"/>
    </row>
    <row r="39" spans="1:20" ht="20.25" customHeight="1" x14ac:dyDescent="0.45">
      <c r="A39" s="81"/>
      <c r="B39" s="112"/>
      <c r="C39" s="22"/>
      <c r="D39" s="24"/>
      <c r="E39" s="24"/>
      <c r="F39" s="118"/>
      <c r="G39" s="119"/>
      <c r="H39" s="21"/>
      <c r="I39" s="50"/>
      <c r="J39" s="100"/>
      <c r="K39" s="111"/>
      <c r="L39" s="101"/>
      <c r="M39" s="70"/>
      <c r="N39" s="102"/>
      <c r="O39" s="70"/>
      <c r="P39" s="70"/>
      <c r="Q39" s="70"/>
      <c r="R39" s="111"/>
      <c r="S39" s="50"/>
      <c r="T39" s="103"/>
    </row>
    <row r="40" spans="1:20" ht="20.25" customHeight="1" x14ac:dyDescent="0.45">
      <c r="A40" s="81"/>
      <c r="B40" s="112"/>
      <c r="C40" s="22"/>
      <c r="D40" s="24"/>
      <c r="E40" s="24"/>
      <c r="F40" s="118"/>
      <c r="G40" s="119"/>
      <c r="H40" s="21"/>
      <c r="I40" s="50"/>
      <c r="J40" s="100"/>
      <c r="K40" s="111"/>
      <c r="L40" s="101"/>
      <c r="M40" s="70"/>
      <c r="N40" s="102"/>
      <c r="O40" s="70"/>
      <c r="P40" s="70"/>
      <c r="Q40" s="70"/>
      <c r="R40" s="111"/>
      <c r="S40" s="50"/>
      <c r="T40" s="103"/>
    </row>
    <row r="41" spans="1:20" ht="20.25" customHeight="1" x14ac:dyDescent="0.45">
      <c r="A41" s="81"/>
      <c r="B41" s="112"/>
      <c r="C41" s="22"/>
      <c r="D41" s="24"/>
      <c r="E41" s="24"/>
      <c r="F41" s="118"/>
      <c r="G41" s="119"/>
      <c r="H41" s="21"/>
      <c r="I41" s="50"/>
      <c r="J41" s="100"/>
      <c r="K41" s="111"/>
      <c r="L41" s="101"/>
      <c r="M41" s="70"/>
      <c r="N41" s="102"/>
      <c r="O41" s="70"/>
      <c r="P41" s="70"/>
      <c r="Q41" s="70"/>
      <c r="R41" s="111"/>
      <c r="S41" s="50"/>
      <c r="T41" s="103"/>
    </row>
    <row r="42" spans="1:20" ht="20.25" customHeight="1" x14ac:dyDescent="0.45">
      <c r="A42" s="81"/>
      <c r="B42" s="112"/>
      <c r="C42" s="22"/>
      <c r="D42" s="24"/>
      <c r="E42" s="24"/>
      <c r="F42" s="118"/>
      <c r="G42" s="119"/>
      <c r="H42" s="21"/>
      <c r="I42" s="50"/>
      <c r="J42" s="100"/>
      <c r="K42" s="111"/>
      <c r="L42" s="101"/>
      <c r="M42" s="70"/>
      <c r="N42" s="102"/>
      <c r="O42" s="70"/>
      <c r="P42" s="70"/>
      <c r="Q42" s="70"/>
      <c r="R42" s="111"/>
      <c r="S42" s="50"/>
      <c r="T42" s="103"/>
    </row>
    <row r="43" spans="1:20" ht="20.25" customHeight="1" x14ac:dyDescent="0.45">
      <c r="A43" s="81"/>
      <c r="B43" s="112"/>
      <c r="C43" s="22"/>
      <c r="D43" s="24"/>
      <c r="E43" s="24"/>
      <c r="F43" s="118"/>
      <c r="G43" s="119"/>
      <c r="H43" s="21"/>
      <c r="I43" s="50"/>
      <c r="J43" s="100"/>
      <c r="K43" s="111"/>
      <c r="L43" s="101"/>
      <c r="M43" s="70"/>
      <c r="N43" s="102"/>
      <c r="O43" s="70"/>
      <c r="P43" s="70"/>
      <c r="Q43" s="70"/>
      <c r="R43" s="111"/>
      <c r="S43" s="50"/>
      <c r="T43" s="103"/>
    </row>
    <row r="44" spans="1:20" ht="20.25" customHeight="1" x14ac:dyDescent="0.45">
      <c r="A44" s="81"/>
      <c r="B44" s="112"/>
      <c r="C44" s="22"/>
      <c r="D44" s="24"/>
      <c r="E44" s="24"/>
      <c r="F44" s="118"/>
      <c r="G44" s="119"/>
      <c r="H44" s="21"/>
      <c r="I44" s="50"/>
      <c r="J44" s="100"/>
      <c r="K44" s="111"/>
      <c r="L44" s="101"/>
      <c r="M44" s="70"/>
      <c r="N44" s="102"/>
      <c r="O44" s="70"/>
      <c r="P44" s="70"/>
      <c r="Q44" s="70"/>
      <c r="R44" s="111"/>
      <c r="S44" s="50"/>
      <c r="T44" s="103"/>
    </row>
    <row r="45" spans="1:20" ht="21.75" customHeight="1" x14ac:dyDescent="0.45">
      <c r="A45" s="33"/>
      <c r="B45" s="112"/>
      <c r="C45" s="22"/>
      <c r="D45" s="24"/>
      <c r="E45" s="24"/>
      <c r="F45" s="118"/>
      <c r="G45" s="24"/>
      <c r="H45" s="21"/>
      <c r="I45" s="50"/>
      <c r="J45" s="100"/>
      <c r="K45" s="117"/>
      <c r="L45" s="113"/>
      <c r="M45" s="70"/>
      <c r="N45" s="102"/>
      <c r="O45" s="70"/>
      <c r="P45" s="70"/>
      <c r="Q45" s="120"/>
      <c r="R45" s="121"/>
      <c r="S45" s="50"/>
      <c r="T45" s="103">
        <f>+R45*0.0833333333333333*4</f>
      </c>
    </row>
    <row r="46" spans="1:20" ht="30" customHeight="1" x14ac:dyDescent="0.45">
      <c r="A46" s="293" t="s">
        <v>57</v>
      </c>
      <c r="B46" s="293"/>
      <c r="C46" s="293"/>
      <c r="D46" s="293"/>
      <c r="E46" s="293"/>
      <c r="F46" s="293"/>
      <c r="G46" s="293"/>
      <c r="H46" s="6"/>
      <c r="I46" s="169"/>
      <c r="J46" s="169"/>
      <c r="K46" s="169"/>
      <c r="L46" s="27"/>
      <c r="M46" s="169"/>
      <c r="N46" s="34" t="e">
        <f>+K46/J46</f>
      </c>
      <c r="O46" s="169">
        <f>SUM(O16:O45)</f>
      </c>
      <c r="P46" s="169">
        <f>SUM(P16:P45)</f>
      </c>
      <c r="Q46" s="169">
        <f>SUM(Q16:Q45)</f>
      </c>
      <c r="R46" s="27">
        <v>0</v>
      </c>
      <c r="S46" s="169">
        <f>SUM(S16:S45)</f>
      </c>
      <c r="T46" s="34">
        <f>+Q46/P46</f>
      </c>
    </row>
    <row r="47" spans="1:20" ht="23.25" customHeight="1" x14ac:dyDescent="0.45">
      <c r="A47" s="14"/>
      <c r="B47" s="15"/>
      <c r="C47" s="16"/>
      <c r="D47" s="17"/>
      <c r="E47" s="18"/>
      <c r="F47" s="19"/>
      <c r="G47" s="16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 spans="1:20" ht="18" x14ac:dyDescent="0.55000000000000004">
      <c r="A48" s="7"/>
      <c r="H48" s="286" t="inlineStr">
        <is>
          <t xml:space="preserve">CDI ${tax_office_name}</t>
        </is>
      </c>
      <c r="I48" s="286"/>
    </row>
    <row r="50" spans="1:20" ht="21" customHeight="1" x14ac:dyDescent="0.45">
      <c r="A50" s="287" t="s">
        <v>6</v>
      </c>
      <c r="B50" s="265" t="s">
        <v>40</v>
      </c>
      <c r="C50" s="265" t="s">
        <v>41</v>
      </c>
      <c r="D50" s="265" t="s">
        <v>42</v>
      </c>
      <c r="E50" s="287" t="s">
        <v>86</v>
      </c>
      <c r="F50" s="265" t="s">
        <v>43</v>
      </c>
      <c r="G50" s="265" t="s">
        <v>44</v>
      </c>
      <c r="H50" s="267" t="s">
        <v>45</v>
      </c>
      <c r="I50" s="265" t="s">
        <v>46</v>
      </c>
      <c r="J50" s="265"/>
      <c r="K50" s="265"/>
      <c r="L50" s="265"/>
      <c r="M50" s="265"/>
      <c r="N50" s="265"/>
      <c r="O50" s="290" t="s">
        <v>47</v>
      </c>
      <c r="P50" s="291"/>
      <c r="Q50" s="291"/>
      <c r="R50" s="291"/>
      <c r="S50" s="291"/>
      <c r="T50" s="292"/>
    </row>
    <row r="51" spans="1:20" ht="17.25" customHeight="1" x14ac:dyDescent="0.45">
      <c r="A51" s="288"/>
      <c r="B51" s="265"/>
      <c r="C51" s="265"/>
      <c r="D51" s="265"/>
      <c r="E51" s="288"/>
      <c r="F51" s="265"/>
      <c r="G51" s="265"/>
      <c r="H51" s="267"/>
      <c r="I51" s="265" t="s">
        <v>49</v>
      </c>
      <c r="J51" s="265"/>
      <c r="K51" s="265" t="s">
        <v>50</v>
      </c>
      <c r="L51" s="265"/>
      <c r="M51" s="265"/>
      <c r="N51" s="265"/>
      <c r="O51" s="265" t="s">
        <v>49</v>
      </c>
      <c r="P51" s="265"/>
      <c r="Q51" s="265" t="s">
        <v>50</v>
      </c>
      <c r="R51" s="265"/>
      <c r="S51" s="265"/>
      <c r="T51" s="265"/>
    </row>
    <row r="52" spans="1:20" ht="34.5" customHeight="1" x14ac:dyDescent="0.45">
      <c r="A52" s="289"/>
      <c r="B52" s="265"/>
      <c r="C52" s="265"/>
      <c r="D52" s="265"/>
      <c r="E52" s="289"/>
      <c r="F52" s="265"/>
      <c r="G52" s="265"/>
      <c r="H52" s="267"/>
      <c r="I52" s="67" t="s">
        <v>51</v>
      </c>
      <c r="J52" s="67" t="s">
        <v>52</v>
      </c>
      <c r="K52" s="67" t="s">
        <v>53</v>
      </c>
      <c r="L52" s="67" t="s">
        <v>54</v>
      </c>
      <c r="M52" s="67" t="s">
        <v>55</v>
      </c>
      <c r="N52" s="67" t="s">
        <v>56</v>
      </c>
      <c r="O52" s="67" t="s">
        <v>51</v>
      </c>
      <c r="P52" s="67" t="s">
        <v>52</v>
      </c>
      <c r="Q52" s="67" t="s">
        <v>53</v>
      </c>
      <c r="R52" s="67" t="s">
        <v>54</v>
      </c>
      <c r="S52" s="67" t="s">
        <v>55</v>
      </c>
      <c r="T52" s="67" t="s">
        <v>56</v>
      </c>
    </row>
    <row r="53" spans="1:20" s="95" customFormat="1" ht="23.25" customHeight="1" x14ac:dyDescent="0.45">
      <c r="A53" s="81">
        <v>1</v>
      </c>
      <c r="B53" s="82" t="inlineStr">
        <is>
          <t xml:space="preserve">${member_name}</t>
        </is>
      </c>
      <c r="C53" s="83" t="inlineStr">
        <is>
          <t xml:space="preserve">${member_ncc}</t>
        </is>
      </c>
      <c r="D53" s="84" t="inlineStr">
        <is>
          <t xml:space="preserve">${member_activity}</t>
        </is>
      </c>
      <c r="E53" s="84" t="inlineStr">
        <is>
          <t xml:space="preserve">${member_address}</t>
        </is>
      </c>
      <c r="F53" s="85" t="inlineStr">
        <is>
          <t xml:space="preserve">${membership_number_date}</t>
        </is>
      </c>
      <c r="G53" s="84" t="inlineStr">
        <is>
          <t xml:space="preserve">${member_section_parcel}</t>
        </is>
      </c>
      <c r="H53" s="86" t="inlineStr">
        <is>
          <t xml:space="preserve">${member_turnover}</t>
        </is>
      </c>
      <c r="I53" s="87">
        <f>+J53*2</f>
      </c>
      <c r="J53" s="88"/>
      <c r="K53" s="87"/>
      <c r="L53" s="89"/>
      <c r="M53" s="87"/>
      <c r="N53" s="90"/>
      <c r="O53" s="87">
        <f>+P53*2</f>
      </c>
      <c r="P53" s="87"/>
      <c r="Q53" s="91"/>
      <c r="R53" s="92"/>
      <c r="S53" s="93"/>
      <c r="T53" s="94">
        <f>+R53*0.0833333333333333*4</f>
      </c>
    </row>
    <row r="54" spans="1:20" ht="25.5" customHeight="1" x14ac:dyDescent="0.45">
      <c r="A54" s="33">
        <v>2</v>
      </c>
      <c r="B54" s="96"/>
      <c r="C54" s="97"/>
      <c r="D54" s="84"/>
      <c r="E54" s="84"/>
      <c r="F54" s="98"/>
      <c r="G54" s="84"/>
      <c r="H54" s="99"/>
      <c r="I54" s="87">
        <f t="shared" ref="I54:I60" si="3">+J54*2</f>
      </c>
      <c r="J54" s="100"/>
      <c r="K54" s="50"/>
      <c r="L54" s="101"/>
      <c r="M54" s="70"/>
      <c r="N54" s="102"/>
      <c r="O54" s="87">
        <f t="shared" ref="O54:O60" si="4">+P54*2</f>
      </c>
      <c r="P54" s="70"/>
      <c r="Q54" s="70"/>
      <c r="R54" s="50"/>
      <c r="S54" s="50"/>
      <c r="T54" s="103">
        <f t="shared" ref="T54:T58" si="5">+R54*0.0833333333333333*4</f>
      </c>
    </row>
    <row r="55" spans="1:20" ht="24.75" customHeight="1" x14ac:dyDescent="0.45">
      <c r="A55" s="33">
        <v>3</v>
      </c>
      <c r="B55" s="104"/>
      <c r="C55" s="105"/>
      <c r="D55" s="106"/>
      <c r="E55" s="107"/>
      <c r="F55" s="108"/>
      <c r="G55" s="84"/>
      <c r="H55" s="99"/>
      <c r="I55" s="87">
        <f t="shared" si="3"/>
      </c>
      <c r="J55" s="100"/>
      <c r="K55" s="50"/>
      <c r="L55" s="101"/>
      <c r="M55" s="70"/>
      <c r="N55" s="102"/>
      <c r="O55" s="87">
        <f t="shared" si="4"/>
      </c>
      <c r="P55" s="70"/>
      <c r="Q55" s="70"/>
      <c r="R55" s="50"/>
      <c r="S55" s="50"/>
      <c r="T55" s="103">
        <f t="shared" si="5"/>
      </c>
    </row>
    <row r="56" spans="1:20" ht="24.75" customHeight="1" x14ac:dyDescent="0.45">
      <c r="A56" s="81">
        <v>4</v>
      </c>
      <c r="B56" s="109"/>
      <c r="C56" s="152"/>
      <c r="D56" s="24"/>
      <c r="E56" s="24"/>
      <c r="F56" s="110"/>
      <c r="G56" s="24"/>
      <c r="H56" s="21"/>
      <c r="I56" s="87">
        <f t="shared" si="3"/>
      </c>
      <c r="J56" s="100"/>
      <c r="K56" s="111"/>
      <c r="L56" s="111"/>
      <c r="M56" s="70"/>
      <c r="N56" s="102"/>
      <c r="O56" s="87">
        <f t="shared" si="4"/>
      </c>
      <c r="P56" s="70"/>
      <c r="Q56" s="111"/>
      <c r="R56" s="111"/>
      <c r="S56" s="50"/>
      <c r="T56" s="103">
        <f t="shared" si="5"/>
      </c>
    </row>
    <row r="57" spans="1:20" ht="24" customHeight="1" x14ac:dyDescent="0.45">
      <c r="A57" s="33">
        <v>5</v>
      </c>
      <c r="B57" s="112"/>
      <c r="C57" s="22"/>
      <c r="D57" s="24"/>
      <c r="E57" s="24"/>
      <c r="F57" s="110"/>
      <c r="G57" s="24"/>
      <c r="H57" s="21"/>
      <c r="I57" s="87">
        <f t="shared" si="3"/>
      </c>
      <c r="J57" s="100"/>
      <c r="K57" s="113"/>
      <c r="L57" s="101"/>
      <c r="M57" s="70"/>
      <c r="N57" s="102"/>
      <c r="O57" s="87">
        <f t="shared" si="4"/>
      </c>
      <c r="P57" s="70"/>
      <c r="Q57" s="111"/>
      <c r="R57" s="111"/>
      <c r="S57" s="50"/>
      <c r="T57" s="103">
        <f t="shared" si="5"/>
      </c>
    </row>
    <row r="58" spans="1:20" ht="24" customHeight="1" x14ac:dyDescent="0.45">
      <c r="A58" s="33">
        <v>6</v>
      </c>
      <c r="B58" s="114"/>
      <c r="C58" s="105"/>
      <c r="D58" s="24"/>
      <c r="E58" s="115"/>
      <c r="F58" s="110"/>
      <c r="G58" s="116"/>
      <c r="H58" s="21"/>
      <c r="I58" s="87">
        <f t="shared" si="3"/>
      </c>
      <c r="J58" s="100"/>
      <c r="K58" s="70"/>
      <c r="L58" s="101"/>
      <c r="M58" s="70"/>
      <c r="N58" s="102"/>
      <c r="O58" s="87">
        <f t="shared" si="4"/>
      </c>
      <c r="P58" s="70"/>
      <c r="Q58" s="50"/>
      <c r="R58" s="117"/>
      <c r="S58" s="50"/>
      <c r="T58" s="103">
        <f t="shared" si="5"/>
      </c>
    </row>
    <row r="59" spans="1:20" ht="20.25" customHeight="1" x14ac:dyDescent="0.45">
      <c r="A59" s="81">
        <v>7</v>
      </c>
      <c r="B59" s="112"/>
      <c r="C59" s="22"/>
      <c r="D59" s="24"/>
      <c r="E59" s="24"/>
      <c r="F59" s="118"/>
      <c r="G59" s="119"/>
      <c r="H59" s="21"/>
      <c r="I59" s="87">
        <f t="shared" si="3"/>
      </c>
      <c r="J59" s="100"/>
      <c r="K59" s="111"/>
      <c r="L59" s="101"/>
      <c r="M59" s="70"/>
      <c r="N59" s="102"/>
      <c r="O59" s="87">
        <f t="shared" si="4"/>
      </c>
      <c r="P59" s="70"/>
      <c r="Q59" s="70"/>
      <c r="R59" s="111"/>
      <c r="S59" s="50"/>
      <c r="T59" s="103"/>
    </row>
    <row r="60" spans="1:20" ht="20.25" customHeight="1" x14ac:dyDescent="0.45">
      <c r="A60" s="81">
        <v>8</v>
      </c>
      <c r="B60" s="112"/>
      <c r="C60" s="22"/>
      <c r="D60" s="24"/>
      <c r="E60" s="24"/>
      <c r="F60" s="118"/>
      <c r="G60" s="119"/>
      <c r="H60" s="21"/>
      <c r="I60" s="87">
        <f t="shared" si="3"/>
      </c>
      <c r="J60" s="100"/>
      <c r="K60" s="111"/>
      <c r="L60" s="101"/>
      <c r="M60" s="70"/>
      <c r="N60" s="102"/>
      <c r="O60" s="87">
        <f t="shared" si="4"/>
      </c>
      <c r="P60" s="70"/>
      <c r="Q60" s="70"/>
      <c r="R60" s="111"/>
      <c r="S60" s="50"/>
      <c r="T60" s="103"/>
    </row>
    <row r="61" spans="1:20" ht="20.25" customHeight="1" x14ac:dyDescent="0.45">
      <c r="A61" s="81">
        <v>9</v>
      </c>
      <c r="B61" s="112"/>
      <c r="C61" s="22"/>
      <c r="D61" s="24"/>
      <c r="E61" s="24"/>
      <c r="F61" s="118"/>
      <c r="G61" s="119"/>
      <c r="H61" s="21"/>
      <c r="I61" s="50"/>
      <c r="J61" s="100"/>
      <c r="K61" s="111"/>
      <c r="L61" s="101"/>
      <c r="M61" s="70"/>
      <c r="N61" s="102"/>
      <c r="O61" s="70"/>
      <c r="P61" s="70"/>
      <c r="Q61" s="70"/>
      <c r="R61" s="111"/>
      <c r="S61" s="50"/>
      <c r="T61" s="103"/>
    </row>
    <row r="62" spans="1:20" ht="20.25" customHeight="1" x14ac:dyDescent="0.45">
      <c r="A62" s="81"/>
      <c r="B62" s="112"/>
      <c r="C62" s="22"/>
      <c r="D62" s="24"/>
      <c r="E62" s="24"/>
      <c r="F62" s="118"/>
      <c r="G62" s="119"/>
      <c r="H62" s="21"/>
      <c r="I62" s="50"/>
      <c r="J62" s="100"/>
      <c r="K62" s="111"/>
      <c r="L62" s="101"/>
      <c r="M62" s="70"/>
      <c r="N62" s="102"/>
      <c r="O62" s="70"/>
      <c r="P62" s="70"/>
      <c r="Q62" s="70"/>
      <c r="R62" s="111"/>
      <c r="S62" s="50"/>
      <c r="T62" s="103"/>
    </row>
    <row r="63" spans="1:20" ht="20.25" customHeight="1" x14ac:dyDescent="0.45">
      <c r="A63" s="81"/>
      <c r="B63" s="112"/>
      <c r="C63" s="22"/>
      <c r="D63" s="24"/>
      <c r="E63" s="24"/>
      <c r="F63" s="118"/>
      <c r="G63" s="119"/>
      <c r="H63" s="21"/>
      <c r="I63" s="50"/>
      <c r="J63" s="100"/>
      <c r="K63" s="111"/>
      <c r="L63" s="101"/>
      <c r="M63" s="70"/>
      <c r="N63" s="102"/>
      <c r="O63" s="70"/>
      <c r="P63" s="70"/>
      <c r="Q63" s="70"/>
      <c r="R63" s="111"/>
      <c r="S63" s="50"/>
      <c r="T63" s="103"/>
    </row>
    <row r="64" spans="1:20" ht="20.25" customHeight="1" x14ac:dyDescent="0.45">
      <c r="A64" s="81"/>
      <c r="B64" s="112"/>
      <c r="C64" s="22"/>
      <c r="D64" s="24"/>
      <c r="E64" s="24"/>
      <c r="F64" s="118"/>
      <c r="G64" s="119"/>
      <c r="H64" s="21"/>
      <c r="I64" s="50"/>
      <c r="J64" s="100"/>
      <c r="K64" s="111"/>
      <c r="L64" s="101"/>
      <c r="M64" s="70"/>
      <c r="N64" s="102"/>
      <c r="O64" s="70"/>
      <c r="P64" s="70"/>
      <c r="Q64" s="70"/>
      <c r="R64" s="111"/>
      <c r="S64" s="50"/>
      <c r="T64" s="103"/>
    </row>
    <row r="65" spans="1:20" ht="20.25" customHeight="1" x14ac:dyDescent="0.45">
      <c r="A65" s="81"/>
      <c r="B65" s="112"/>
      <c r="C65" s="22"/>
      <c r="D65" s="24"/>
      <c r="E65" s="24"/>
      <c r="F65" s="118"/>
      <c r="G65" s="119"/>
      <c r="H65" s="21"/>
      <c r="I65" s="50"/>
      <c r="J65" s="100"/>
      <c r="K65" s="111"/>
      <c r="L65" s="101"/>
      <c r="M65" s="70"/>
      <c r="N65" s="102"/>
      <c r="O65" s="70"/>
      <c r="P65" s="70"/>
      <c r="Q65" s="70"/>
      <c r="R65" s="111"/>
      <c r="S65" s="50"/>
      <c r="T65" s="103"/>
    </row>
    <row r="66" spans="1:20" ht="20.25" customHeight="1" x14ac:dyDescent="0.45">
      <c r="A66" s="81">
        <v>9</v>
      </c>
      <c r="B66" s="112"/>
      <c r="C66" s="22"/>
      <c r="D66" s="24"/>
      <c r="E66" s="24"/>
      <c r="F66" s="118"/>
      <c r="G66" s="119"/>
      <c r="H66" s="21"/>
      <c r="I66" s="50"/>
      <c r="J66" s="100"/>
      <c r="K66" s="111"/>
      <c r="L66" s="101"/>
      <c r="M66" s="70"/>
      <c r="N66" s="102"/>
      <c r="O66" s="70"/>
      <c r="P66" s="70"/>
      <c r="Q66" s="70"/>
      <c r="R66" s="111"/>
      <c r="S66" s="50"/>
      <c r="T66" s="103"/>
    </row>
    <row r="67" spans="1:20" ht="21.75" customHeight="1" x14ac:dyDescent="0.45">
      <c r="A67" s="33"/>
      <c r="B67" s="112"/>
      <c r="C67" s="22"/>
      <c r="D67" s="24"/>
      <c r="E67" s="24"/>
      <c r="F67" s="118"/>
      <c r="G67" s="24"/>
      <c r="H67" s="21"/>
      <c r="I67" s="50"/>
      <c r="J67" s="100"/>
      <c r="K67" s="117"/>
      <c r="L67" s="113"/>
      <c r="M67" s="70"/>
      <c r="N67" s="102"/>
      <c r="O67" s="70"/>
      <c r="P67" s="70"/>
      <c r="Q67" s="120"/>
      <c r="R67" s="121"/>
      <c r="S67" s="50"/>
      <c r="T67" s="103">
        <f>+R67*0.0833333333333333*4</f>
      </c>
    </row>
    <row r="68" spans="1:20" ht="30" customHeight="1" x14ac:dyDescent="0.45">
      <c r="A68" s="293" t="s">
        <v>57</v>
      </c>
      <c r="B68" s="293"/>
      <c r="C68" s="293"/>
      <c r="D68" s="293"/>
      <c r="E68" s="293"/>
      <c r="F68" s="293"/>
      <c r="G68" s="293"/>
      <c r="H68" s="6"/>
      <c r="I68" s="169"/>
      <c r="J68" s="169"/>
      <c r="K68" s="169"/>
      <c r="L68" s="27"/>
      <c r="M68" s="169"/>
      <c r="N68" s="34" t="e">
        <f>+K68/J68</f>
      </c>
      <c r="O68" s="169">
        <f>SUM(O53:O67)</f>
      </c>
      <c r="P68" s="169">
        <f>SUM(P53:P67)</f>
      </c>
      <c r="Q68" s="169">
        <f>SUM(Q53:Q67)</f>
      </c>
      <c r="R68" s="27">
        <v>0</v>
      </c>
      <c r="S68" s="169">
        <f>SUM(S53:S67)</f>
      </c>
      <c r="T68" s="34">
        <f>+Q68/P68</f>
      </c>
    </row>
    <row r="71" spans="1:20" ht="18" x14ac:dyDescent="0.55000000000000004">
      <c r="A71" s="7"/>
      <c r="H71" s="286" t="inlineStr">
        <is>
          <t xml:space="preserve">CDI ${tax_office_name}</t>
        </is>
      </c>
      <c r="I71" s="286"/>
    </row>
    <row r="73" spans="1:20" ht="21" customHeight="1" x14ac:dyDescent="0.45">
      <c r="A73" s="287" t="s">
        <v>6</v>
      </c>
      <c r="B73" s="265" t="s">
        <v>40</v>
      </c>
      <c r="C73" s="265" t="s">
        <v>41</v>
      </c>
      <c r="D73" s="265" t="s">
        <v>42</v>
      </c>
      <c r="E73" s="287" t="s">
        <v>86</v>
      </c>
      <c r="F73" s="265" t="s">
        <v>43</v>
      </c>
      <c r="G73" s="265" t="s">
        <v>44</v>
      </c>
      <c r="H73" s="267" t="s">
        <v>45</v>
      </c>
      <c r="I73" s="265" t="s">
        <v>46</v>
      </c>
      <c r="J73" s="265"/>
      <c r="K73" s="265"/>
      <c r="L73" s="265"/>
      <c r="M73" s="265"/>
      <c r="N73" s="265"/>
      <c r="O73" s="290" t="s">
        <v>47</v>
      </c>
      <c r="P73" s="291"/>
      <c r="Q73" s="291"/>
      <c r="R73" s="291"/>
      <c r="S73" s="291"/>
      <c r="T73" s="292"/>
    </row>
    <row r="74" spans="1:20" ht="17.25" customHeight="1" x14ac:dyDescent="0.45">
      <c r="A74" s="288"/>
      <c r="B74" s="265"/>
      <c r="C74" s="265"/>
      <c r="D74" s="265"/>
      <c r="E74" s="288"/>
      <c r="F74" s="265"/>
      <c r="G74" s="265"/>
      <c r="H74" s="267"/>
      <c r="I74" s="265" t="s">
        <v>49</v>
      </c>
      <c r="J74" s="265"/>
      <c r="K74" s="265" t="s">
        <v>50</v>
      </c>
      <c r="L74" s="265"/>
      <c r="M74" s="265"/>
      <c r="N74" s="265"/>
      <c r="O74" s="265" t="s">
        <v>49</v>
      </c>
      <c r="P74" s="265"/>
      <c r="Q74" s="265" t="s">
        <v>50</v>
      </c>
      <c r="R74" s="265"/>
      <c r="S74" s="265"/>
      <c r="T74" s="265"/>
    </row>
    <row r="75" spans="1:20" ht="34.5" customHeight="1" x14ac:dyDescent="0.45">
      <c r="A75" s="289"/>
      <c r="B75" s="265"/>
      <c r="C75" s="265"/>
      <c r="D75" s="265"/>
      <c r="E75" s="289"/>
      <c r="F75" s="265"/>
      <c r="G75" s="265"/>
      <c r="H75" s="267"/>
      <c r="I75" s="67" t="s">
        <v>51</v>
      </c>
      <c r="J75" s="67" t="s">
        <v>52</v>
      </c>
      <c r="K75" s="67" t="s">
        <v>53</v>
      </c>
      <c r="L75" s="67" t="s">
        <v>54</v>
      </c>
      <c r="M75" s="67" t="s">
        <v>55</v>
      </c>
      <c r="N75" s="67" t="s">
        <v>56</v>
      </c>
      <c r="O75" s="67" t="s">
        <v>51</v>
      </c>
      <c r="P75" s="67" t="s">
        <v>52</v>
      </c>
      <c r="Q75" s="67" t="s">
        <v>53</v>
      </c>
      <c r="R75" s="67" t="s">
        <v>54</v>
      </c>
      <c r="S75" s="67" t="s">
        <v>55</v>
      </c>
      <c r="T75" s="67" t="s">
        <v>56</v>
      </c>
    </row>
    <row r="76" spans="1:20" s="95" customFormat="1" ht="10.5" customHeight="1" x14ac:dyDescent="0.45">
      <c r="A76" s="81">
        <v>1</v>
      </c>
      <c r="B76" s="82" t="inlineStr">
        <is>
          <t xml:space="preserve">${member_name}</t>
        </is>
      </c>
      <c r="C76" s="83" t="inlineStr">
        <is>
          <t xml:space="preserve">${member_ncc}</t>
        </is>
      </c>
      <c r="D76" s="84" t="inlineStr">
        <is>
          <t xml:space="preserve">${member_activity}</t>
        </is>
      </c>
      <c r="E76" s="84" t="inlineStr">
        <is>
          <t xml:space="preserve">${member_address}</t>
        </is>
      </c>
      <c r="F76" s="85" t="inlineStr">
        <is>
          <t xml:space="preserve">${membership_number_date}</t>
        </is>
      </c>
      <c r="G76" s="84" t="inlineStr">
        <is>
          <t xml:space="preserve">${member_section_parcel}</t>
        </is>
      </c>
      <c r="H76" s="86" t="inlineStr">
        <is>
          <t xml:space="preserve">${member_turnover}</t>
        </is>
      </c>
      <c r="I76" s="87">
        <f>+J76*2</f>
      </c>
      <c r="J76" s="88"/>
      <c r="K76" s="87"/>
      <c r="L76" s="89"/>
      <c r="M76" s="87"/>
      <c r="N76" s="90"/>
      <c r="O76" s="87"/>
      <c r="P76" s="87"/>
      <c r="Q76" s="91"/>
      <c r="R76" s="92"/>
      <c r="S76" s="93"/>
      <c r="T76" s="94">
        <f>+R76*0.0833333333333333*4</f>
      </c>
    </row>
    <row r="77" spans="1:20" ht="25.5" customHeight="1" x14ac:dyDescent="0.45">
      <c r="A77" s="33">
        <v>2</v>
      </c>
      <c r="B77" s="96"/>
      <c r="C77" s="97"/>
      <c r="D77" s="84"/>
      <c r="E77" s="84"/>
      <c r="F77" s="98"/>
      <c r="G77" s="84"/>
      <c r="H77" s="99"/>
      <c r="I77" s="87">
        <f t="shared" ref="I77:I103" si="6">+J77*2</f>
      </c>
      <c r="J77" s="100"/>
      <c r="K77" s="50"/>
      <c r="L77" s="101"/>
      <c r="M77" s="70"/>
      <c r="N77" s="102"/>
      <c r="O77" s="70"/>
      <c r="P77" s="70"/>
      <c r="Q77" s="70"/>
      <c r="R77" s="50"/>
      <c r="S77" s="50"/>
      <c r="T77" s="103">
        <f t="shared" ref="T77:T78" si="7">+R77*0.0833333333333333*4</f>
      </c>
    </row>
    <row r="78" spans="1:20" ht="26.25" customHeight="1" x14ac:dyDescent="0.45">
      <c r="A78" s="33">
        <v>3</v>
      </c>
      <c r="B78" s="112"/>
      <c r="C78" s="22"/>
      <c r="D78" s="24"/>
      <c r="E78" s="24"/>
      <c r="F78" s="118"/>
      <c r="G78" s="119"/>
      <c r="H78" s="21"/>
      <c r="I78" s="87">
        <f t="shared" si="6"/>
      </c>
      <c r="J78" s="100"/>
      <c r="K78" s="111"/>
      <c r="L78" s="101"/>
      <c r="M78" s="70"/>
      <c r="N78" s="102"/>
      <c r="O78" s="70"/>
      <c r="P78" s="70"/>
      <c r="Q78" s="70"/>
      <c r="R78" s="111"/>
      <c r="S78" s="50"/>
      <c r="T78" s="103">
        <f t="shared" si="7"/>
      </c>
    </row>
    <row r="79" spans="1:20" ht="20.25" customHeight="1" x14ac:dyDescent="0.45">
      <c r="A79" s="33">
        <v>4</v>
      </c>
      <c r="B79" s="112"/>
      <c r="C79" s="22"/>
      <c r="D79" s="24"/>
      <c r="E79" s="24"/>
      <c r="F79" s="118"/>
      <c r="G79" s="119"/>
      <c r="H79" s="21"/>
      <c r="I79" s="87">
        <f t="shared" si="6"/>
      </c>
      <c r="J79" s="100"/>
      <c r="K79" s="111"/>
      <c r="L79" s="101"/>
      <c r="M79" s="70"/>
      <c r="N79" s="102"/>
      <c r="O79" s="70"/>
      <c r="P79" s="70"/>
      <c r="Q79" s="70"/>
      <c r="R79" s="111"/>
      <c r="S79" s="50"/>
      <c r="T79" s="103"/>
    </row>
    <row r="80" spans="1:20" ht="20.25" customHeight="1" x14ac:dyDescent="0.45">
      <c r="A80" s="33">
        <v>5</v>
      </c>
      <c r="B80" s="112"/>
      <c r="C80" s="22"/>
      <c r="D80" s="24"/>
      <c r="E80" s="24"/>
      <c r="F80" s="118"/>
      <c r="G80" s="119"/>
      <c r="H80" s="21"/>
      <c r="I80" s="87">
        <f t="shared" si="6"/>
      </c>
      <c r="J80" s="100"/>
      <c r="K80" s="111"/>
      <c r="L80" s="101"/>
      <c r="M80" s="70"/>
      <c r="N80" s="102"/>
      <c r="O80" s="70"/>
      <c r="P80" s="70"/>
      <c r="Q80" s="70"/>
      <c r="R80" s="111"/>
      <c r="S80" s="50"/>
      <c r="T80" s="103"/>
    </row>
    <row r="81" spans="1:20" ht="36" customHeight="1" x14ac:dyDescent="0.45">
      <c r="A81" s="33">
        <v>6</v>
      </c>
      <c r="B81" s="112"/>
      <c r="C81" s="22"/>
      <c r="D81" s="24"/>
      <c r="E81" s="24"/>
      <c r="F81" s="118"/>
      <c r="G81" s="119"/>
      <c r="H81" s="21"/>
      <c r="I81" s="87">
        <f t="shared" si="6"/>
      </c>
      <c r="J81" s="100"/>
      <c r="K81" s="111"/>
      <c r="L81" s="101"/>
      <c r="M81" s="70"/>
      <c r="N81" s="102"/>
      <c r="O81" s="70"/>
      <c r="P81" s="70"/>
      <c r="Q81" s="70"/>
      <c r="R81" s="111"/>
      <c r="S81" s="50"/>
      <c r="T81" s="103"/>
    </row>
    <row r="82" spans="1:20" ht="30.75" customHeight="1" x14ac:dyDescent="0.45">
      <c r="A82" s="33">
        <v>7</v>
      </c>
      <c r="B82" s="112"/>
      <c r="C82" s="22"/>
      <c r="D82" s="24"/>
      <c r="E82" s="24"/>
      <c r="F82" s="118"/>
      <c r="G82" s="119"/>
      <c r="H82" s="21"/>
      <c r="I82" s="87">
        <f t="shared" si="6"/>
      </c>
      <c r="J82" s="100"/>
      <c r="K82" s="111"/>
      <c r="L82" s="101"/>
      <c r="M82" s="70"/>
      <c r="N82" s="102"/>
      <c r="O82" s="70"/>
      <c r="P82" s="70"/>
      <c r="Q82" s="70"/>
      <c r="R82" s="111"/>
      <c r="S82" s="50"/>
      <c r="T82" s="103"/>
    </row>
    <row r="83" spans="1:20" ht="33" customHeight="1" x14ac:dyDescent="0.45">
      <c r="A83" s="33">
        <v>8</v>
      </c>
      <c r="B83" s="112"/>
      <c r="C83" s="22"/>
      <c r="D83" s="24"/>
      <c r="E83" s="24"/>
      <c r="F83" s="118"/>
      <c r="G83" s="119"/>
      <c r="H83" s="21"/>
      <c r="I83" s="87">
        <f t="shared" si="6"/>
      </c>
      <c r="J83" s="100"/>
      <c r="K83" s="111"/>
      <c r="L83" s="101"/>
      <c r="M83" s="70"/>
      <c r="N83" s="102"/>
      <c r="O83" s="70"/>
      <c r="P83" s="70"/>
      <c r="Q83" s="70"/>
      <c r="R83" s="111"/>
      <c r="S83" s="50"/>
      <c r="T83" s="103"/>
    </row>
    <row r="84" spans="1:20" ht="20.25" customHeight="1" x14ac:dyDescent="0.45">
      <c r="A84" s="33">
        <v>9</v>
      </c>
      <c r="B84" s="112"/>
      <c r="C84" s="22"/>
      <c r="D84" s="24"/>
      <c r="E84" s="24"/>
      <c r="F84" s="118"/>
      <c r="G84" s="119"/>
      <c r="H84" s="21"/>
      <c r="I84" s="87">
        <f t="shared" si="6"/>
      </c>
      <c r="J84" s="100"/>
      <c r="K84" s="111"/>
      <c r="L84" s="101"/>
      <c r="M84" s="70"/>
      <c r="N84" s="102"/>
      <c r="O84" s="70"/>
      <c r="P84" s="70"/>
      <c r="Q84" s="70"/>
      <c r="R84" s="111"/>
      <c r="S84" s="50"/>
      <c r="T84" s="103"/>
    </row>
    <row r="85" spans="1:20" ht="20.25" customHeight="1" x14ac:dyDescent="0.45">
      <c r="A85" s="33">
        <v>10</v>
      </c>
      <c r="B85" s="112"/>
      <c r="C85" s="22"/>
      <c r="D85" s="24"/>
      <c r="E85" s="24"/>
      <c r="F85" s="118"/>
      <c r="G85" s="119"/>
      <c r="H85" s="21"/>
      <c r="I85" s="87">
        <f t="shared" si="6"/>
      </c>
      <c r="J85" s="100"/>
      <c r="K85" s="111"/>
      <c r="L85" s="101"/>
      <c r="M85" s="70"/>
      <c r="N85" s="102"/>
      <c r="O85" s="70"/>
      <c r="P85" s="70"/>
      <c r="Q85" s="70"/>
      <c r="R85" s="111"/>
      <c r="S85" s="50"/>
      <c r="T85" s="103"/>
    </row>
    <row r="86" spans="1:20" ht="20.25" customHeight="1" x14ac:dyDescent="0.45">
      <c r="A86" s="33">
        <v>11</v>
      </c>
      <c r="B86" s="112"/>
      <c r="C86" s="22"/>
      <c r="D86" s="24"/>
      <c r="E86" s="24"/>
      <c r="F86" s="118"/>
      <c r="G86" s="119"/>
      <c r="H86" s="21"/>
      <c r="I86" s="87">
        <f t="shared" si="6"/>
      </c>
      <c r="J86" s="100"/>
      <c r="K86" s="111"/>
      <c r="L86" s="101"/>
      <c r="M86" s="70"/>
      <c r="N86" s="102"/>
      <c r="O86" s="70"/>
      <c r="P86" s="70"/>
      <c r="Q86" s="70"/>
      <c r="R86" s="111"/>
      <c r="S86" s="50"/>
      <c r="T86" s="103"/>
    </row>
    <row r="87" spans="1:20" ht="20.25" customHeight="1" x14ac:dyDescent="0.45">
      <c r="A87" s="33">
        <v>12</v>
      </c>
      <c r="B87" s="112"/>
      <c r="C87" s="22"/>
      <c r="D87" s="24"/>
      <c r="E87" s="24"/>
      <c r="F87" s="118"/>
      <c r="G87" s="119"/>
      <c r="H87" s="21"/>
      <c r="I87" s="87">
        <f t="shared" si="6"/>
      </c>
      <c r="J87" s="100"/>
      <c r="K87" s="111"/>
      <c r="L87" s="101"/>
      <c r="M87" s="70"/>
      <c r="N87" s="102"/>
      <c r="O87" s="70"/>
      <c r="P87" s="70"/>
      <c r="Q87" s="70"/>
      <c r="R87" s="111"/>
      <c r="S87" s="50"/>
      <c r="T87" s="103"/>
    </row>
    <row r="88" spans="1:20" ht="20.25" customHeight="1" x14ac:dyDescent="0.45">
      <c r="A88" s="33">
        <v>13</v>
      </c>
      <c r="B88" s="112"/>
      <c r="C88" s="22"/>
      <c r="D88" s="24"/>
      <c r="E88" s="24"/>
      <c r="F88" s="118"/>
      <c r="G88" s="119"/>
      <c r="H88" s="21"/>
      <c r="I88" s="87">
        <f t="shared" si="6"/>
      </c>
      <c r="J88" s="100"/>
      <c r="K88" s="111"/>
      <c r="L88" s="101"/>
      <c r="M88" s="70"/>
      <c r="N88" s="102"/>
      <c r="O88" s="70"/>
      <c r="P88" s="70"/>
      <c r="Q88" s="70"/>
      <c r="R88" s="111"/>
      <c r="S88" s="50"/>
      <c r="T88" s="103"/>
    </row>
    <row r="89" spans="1:20" ht="20.25" customHeight="1" x14ac:dyDescent="0.45">
      <c r="A89" s="33">
        <v>14</v>
      </c>
      <c r="B89" s="112"/>
      <c r="C89" s="22"/>
      <c r="D89" s="24"/>
      <c r="E89" s="24"/>
      <c r="F89" s="118"/>
      <c r="G89" s="119"/>
      <c r="H89" s="21"/>
      <c r="I89" s="87">
        <f t="shared" si="6"/>
      </c>
      <c r="J89" s="100"/>
      <c r="K89" s="111"/>
      <c r="L89" s="101"/>
      <c r="M89" s="70"/>
      <c r="N89" s="102"/>
      <c r="O89" s="70"/>
      <c r="P89" s="70"/>
      <c r="Q89" s="70"/>
      <c r="R89" s="111"/>
      <c r="S89" s="50"/>
      <c r="T89" s="103"/>
    </row>
    <row r="90" spans="1:20" ht="20.25" customHeight="1" x14ac:dyDescent="0.45">
      <c r="A90" s="33">
        <v>15</v>
      </c>
      <c r="B90" s="112"/>
      <c r="C90" s="22"/>
      <c r="D90" s="24"/>
      <c r="E90" s="24"/>
      <c r="F90" s="118"/>
      <c r="G90" s="119"/>
      <c r="H90" s="21"/>
      <c r="I90" s="87">
        <f t="shared" si="6"/>
      </c>
      <c r="J90" s="100"/>
      <c r="K90" s="111"/>
      <c r="L90" s="101"/>
      <c r="M90" s="70"/>
      <c r="N90" s="102"/>
      <c r="O90" s="70"/>
      <c r="P90" s="70"/>
      <c r="Q90" s="70"/>
      <c r="R90" s="111"/>
      <c r="S90" s="50"/>
      <c r="T90" s="103"/>
    </row>
    <row r="91" spans="1:20" ht="20.25" customHeight="1" x14ac:dyDescent="0.45">
      <c r="A91" s="33">
        <v>16</v>
      </c>
      <c r="B91" s="112"/>
      <c r="C91" s="22"/>
      <c r="D91" s="24"/>
      <c r="E91" s="24"/>
      <c r="F91" s="118"/>
      <c r="G91" s="119"/>
      <c r="H91" s="21"/>
      <c r="I91" s="87">
        <f t="shared" si="6"/>
      </c>
      <c r="J91" s="100"/>
      <c r="K91" s="111"/>
      <c r="L91" s="101"/>
      <c r="M91" s="70"/>
      <c r="N91" s="102"/>
      <c r="O91" s="70"/>
      <c r="P91" s="70"/>
      <c r="Q91" s="70"/>
      <c r="R91" s="111"/>
      <c r="S91" s="50"/>
      <c r="T91" s="103"/>
    </row>
    <row r="92" spans="1:20" ht="31.5" customHeight="1" x14ac:dyDescent="0.45">
      <c r="A92" s="33">
        <v>17</v>
      </c>
      <c r="B92" s="112"/>
      <c r="C92" s="22"/>
      <c r="D92" s="24"/>
      <c r="E92" s="24"/>
      <c r="F92" s="118"/>
      <c r="G92" s="119"/>
      <c r="H92" s="21"/>
      <c r="I92" s="87">
        <f t="shared" si="6"/>
      </c>
      <c r="J92" s="100"/>
      <c r="K92" s="111"/>
      <c r="L92" s="101"/>
      <c r="M92" s="70"/>
      <c r="N92" s="102"/>
      <c r="O92" s="70"/>
      <c r="P92" s="70"/>
      <c r="Q92" s="70"/>
      <c r="R92" s="111"/>
      <c r="S92" s="50"/>
      <c r="T92" s="103"/>
    </row>
    <row r="93" spans="1:20" ht="20.25" customHeight="1" x14ac:dyDescent="0.45">
      <c r="A93" s="33">
        <v>18</v>
      </c>
      <c r="B93" s="112"/>
      <c r="C93" s="22"/>
      <c r="D93" s="24"/>
      <c r="E93" s="24"/>
      <c r="F93" s="118"/>
      <c r="G93" s="119"/>
      <c r="H93" s="21"/>
      <c r="I93" s="87">
        <f t="shared" si="6"/>
      </c>
      <c r="J93" s="100"/>
      <c r="K93" s="111"/>
      <c r="L93" s="101"/>
      <c r="M93" s="70"/>
      <c r="N93" s="102"/>
      <c r="O93" s="70"/>
      <c r="P93" s="70"/>
      <c r="Q93" s="70"/>
      <c r="R93" s="111"/>
      <c r="S93" s="50"/>
      <c r="T93" s="103"/>
    </row>
    <row r="94" spans="1:20" ht="20.25" customHeight="1" x14ac:dyDescent="0.45">
      <c r="A94" s="33">
        <v>19</v>
      </c>
      <c r="B94" s="112"/>
      <c r="C94" s="22"/>
      <c r="D94" s="24"/>
      <c r="E94" s="24"/>
      <c r="F94" s="118"/>
      <c r="G94" s="119"/>
      <c r="H94" s="21"/>
      <c r="I94" s="87">
        <f t="shared" si="6"/>
      </c>
      <c r="J94" s="100"/>
      <c r="K94" s="111"/>
      <c r="L94" s="101"/>
      <c r="M94" s="70"/>
      <c r="N94" s="102"/>
      <c r="O94" s="70"/>
      <c r="P94" s="70"/>
      <c r="Q94" s="70"/>
      <c r="R94" s="111"/>
      <c r="S94" s="50"/>
      <c r="T94" s="103"/>
    </row>
    <row r="95" spans="1:20" ht="20.25" customHeight="1" x14ac:dyDescent="0.45">
      <c r="A95" s="33">
        <v>20</v>
      </c>
      <c r="B95" s="112"/>
      <c r="C95" s="22"/>
      <c r="D95" s="24"/>
      <c r="E95" s="24"/>
      <c r="F95" s="118"/>
      <c r="G95" s="119"/>
      <c r="H95" s="21"/>
      <c r="I95" s="87">
        <f t="shared" si="6"/>
      </c>
      <c r="J95" s="100"/>
      <c r="K95" s="111"/>
      <c r="L95" s="101"/>
      <c r="M95" s="70"/>
      <c r="N95" s="102"/>
      <c r="O95" s="70"/>
      <c r="P95" s="70"/>
      <c r="Q95" s="70"/>
      <c r="R95" s="111"/>
      <c r="S95" s="50"/>
      <c r="T95" s="103"/>
    </row>
    <row r="96" spans="1:20" ht="20.25" customHeight="1" x14ac:dyDescent="0.45">
      <c r="A96" s="33">
        <v>21</v>
      </c>
      <c r="B96" s="112"/>
      <c r="C96" s="22"/>
      <c r="D96" s="24"/>
      <c r="E96" s="24"/>
      <c r="F96" s="118"/>
      <c r="G96" s="119"/>
      <c r="H96" s="21"/>
      <c r="I96" s="87">
        <f t="shared" si="6"/>
      </c>
      <c r="J96" s="100"/>
      <c r="K96" s="111"/>
      <c r="L96" s="101"/>
      <c r="M96" s="70"/>
      <c r="N96" s="102"/>
      <c r="O96" s="70"/>
      <c r="P96" s="70"/>
      <c r="Q96" s="70"/>
      <c r="R96" s="111"/>
      <c r="S96" s="50"/>
      <c r="T96" s="103"/>
    </row>
    <row r="97" spans="1:20" ht="20.25" customHeight="1" x14ac:dyDescent="0.45">
      <c r="A97" s="33">
        <v>22</v>
      </c>
      <c r="B97" s="112"/>
      <c r="C97" s="22"/>
      <c r="D97" s="24"/>
      <c r="E97" s="24"/>
      <c r="F97" s="118"/>
      <c r="G97" s="119"/>
      <c r="H97" s="21"/>
      <c r="I97" s="87">
        <f t="shared" si="6"/>
      </c>
      <c r="J97" s="100"/>
      <c r="K97" s="111"/>
      <c r="L97" s="101"/>
      <c r="M97" s="70"/>
      <c r="N97" s="102"/>
      <c r="O97" s="70"/>
      <c r="P97" s="70"/>
      <c r="Q97" s="70"/>
      <c r="R97" s="111"/>
      <c r="S97" s="50"/>
      <c r="T97" s="103"/>
    </row>
    <row r="98" spans="1:20" ht="20.25" customHeight="1" x14ac:dyDescent="0.45">
      <c r="A98" s="33"/>
      <c r="B98" s="112"/>
      <c r="C98" s="22"/>
      <c r="D98" s="24"/>
      <c r="E98" s="24"/>
      <c r="F98" s="118"/>
      <c r="G98" s="119"/>
      <c r="H98" s="21"/>
      <c r="I98" s="87">
        <f t="shared" si="6"/>
      </c>
      <c r="J98" s="100"/>
      <c r="K98" s="111"/>
      <c r="L98" s="101"/>
      <c r="M98" s="70"/>
      <c r="N98" s="102"/>
      <c r="O98" s="70"/>
      <c r="P98" s="70"/>
      <c r="Q98" s="70"/>
      <c r="R98" s="111"/>
      <c r="S98" s="50"/>
      <c r="T98" s="103"/>
    </row>
    <row r="99" spans="1:20" ht="20.25" customHeight="1" x14ac:dyDescent="0.45">
      <c r="A99" s="33"/>
      <c r="B99" s="112"/>
      <c r="C99" s="22"/>
      <c r="D99" s="24"/>
      <c r="E99" s="24"/>
      <c r="F99" s="118"/>
      <c r="G99" s="119"/>
      <c r="H99" s="21"/>
      <c r="I99" s="87">
        <f t="shared" si="6"/>
      </c>
      <c r="J99" s="100"/>
      <c r="K99" s="111"/>
      <c r="L99" s="101"/>
      <c r="M99" s="70"/>
      <c r="N99" s="102"/>
      <c r="O99" s="70"/>
      <c r="P99" s="70"/>
      <c r="Q99" s="70"/>
      <c r="R99" s="111"/>
      <c r="S99" s="50"/>
      <c r="T99" s="103"/>
    </row>
    <row r="100" spans="1:20" ht="20.25" customHeight="1" x14ac:dyDescent="0.45">
      <c r="A100" s="33"/>
      <c r="B100" s="112"/>
      <c r="C100" s="22"/>
      <c r="D100" s="24"/>
      <c r="E100" s="24"/>
      <c r="F100" s="118"/>
      <c r="G100" s="119"/>
      <c r="H100" s="21"/>
      <c r="I100" s="87">
        <f t="shared" si="6"/>
      </c>
      <c r="J100" s="100"/>
      <c r="K100" s="111"/>
      <c r="L100" s="101"/>
      <c r="M100" s="70"/>
      <c r="N100" s="102"/>
      <c r="O100" s="70"/>
      <c r="P100" s="70"/>
      <c r="Q100" s="70"/>
      <c r="R100" s="111"/>
      <c r="S100" s="50"/>
      <c r="T100" s="103"/>
    </row>
    <row r="101" spans="1:20" ht="20.25" customHeight="1" x14ac:dyDescent="0.45">
      <c r="A101" s="33"/>
      <c r="B101" s="112"/>
      <c r="C101" s="22"/>
      <c r="D101" s="24"/>
      <c r="E101" s="24"/>
      <c r="F101" s="118"/>
      <c r="G101" s="119"/>
      <c r="H101" s="21"/>
      <c r="I101" s="87">
        <f t="shared" si="6"/>
      </c>
      <c r="J101" s="100"/>
      <c r="K101" s="111"/>
      <c r="L101" s="101"/>
      <c r="M101" s="70"/>
      <c r="N101" s="102"/>
      <c r="O101" s="70"/>
      <c r="P101" s="70"/>
      <c r="Q101" s="70"/>
      <c r="R101" s="111"/>
      <c r="S101" s="50"/>
      <c r="T101" s="103"/>
    </row>
    <row r="102" spans="1:20" ht="20.25" customHeight="1" x14ac:dyDescent="0.45">
      <c r="A102" s="33"/>
      <c r="B102" s="112"/>
      <c r="C102" s="22"/>
      <c r="D102" s="24"/>
      <c r="E102" s="24"/>
      <c r="F102" s="118"/>
      <c r="G102" s="119"/>
      <c r="H102" s="21"/>
      <c r="I102" s="87">
        <f t="shared" si="6"/>
      </c>
      <c r="J102" s="100"/>
      <c r="K102" s="111"/>
      <c r="L102" s="101"/>
      <c r="M102" s="70"/>
      <c r="N102" s="102"/>
      <c r="O102" s="70"/>
      <c r="P102" s="70"/>
      <c r="Q102" s="70"/>
      <c r="R102" s="111"/>
      <c r="S102" s="50"/>
      <c r="T102" s="103"/>
    </row>
    <row r="103" spans="1:20" ht="20.25" customHeight="1" x14ac:dyDescent="0.45">
      <c r="A103" s="33"/>
      <c r="B103" s="112"/>
      <c r="C103" s="22"/>
      <c r="D103" s="24"/>
      <c r="E103" s="24"/>
      <c r="F103" s="118"/>
      <c r="G103" s="119"/>
      <c r="H103" s="21"/>
      <c r="I103" s="87">
        <f t="shared" si="6"/>
      </c>
      <c r="J103" s="100"/>
      <c r="K103" s="111"/>
      <c r="L103" s="101"/>
      <c r="M103" s="70"/>
      <c r="N103" s="102"/>
      <c r="O103" s="70"/>
      <c r="P103" s="70"/>
      <c r="Q103" s="70"/>
      <c r="R103" s="111"/>
      <c r="S103" s="50"/>
      <c r="T103" s="103"/>
    </row>
    <row r="104" spans="1:20" ht="20.25" customHeight="1" x14ac:dyDescent="0.45">
      <c r="A104" s="81"/>
      <c r="B104" s="112"/>
      <c r="C104" s="22"/>
      <c r="D104" s="24"/>
      <c r="E104" s="24"/>
      <c r="F104" s="118"/>
      <c r="G104" s="119"/>
      <c r="H104" s="21"/>
      <c r="I104" s="50"/>
      <c r="J104" s="100"/>
      <c r="K104" s="111"/>
      <c r="L104" s="101"/>
      <c r="M104" s="70"/>
      <c r="N104" s="102"/>
      <c r="O104" s="70"/>
      <c r="P104" s="70"/>
      <c r="Q104" s="70"/>
      <c r="R104" s="111"/>
      <c r="S104" s="50"/>
      <c r="T104" s="103"/>
    </row>
    <row r="105" spans="1:20" ht="20.25" customHeight="1" x14ac:dyDescent="0.45">
      <c r="A105" s="81"/>
      <c r="B105" s="112"/>
      <c r="C105" s="22"/>
      <c r="D105" s="24"/>
      <c r="E105" s="24"/>
      <c r="F105" s="118"/>
      <c r="G105" s="119"/>
      <c r="H105" s="21"/>
      <c r="I105" s="50"/>
      <c r="J105" s="100"/>
      <c r="K105" s="111"/>
      <c r="L105" s="101"/>
      <c r="M105" s="70"/>
      <c r="N105" s="102"/>
      <c r="O105" s="70"/>
      <c r="P105" s="70"/>
      <c r="Q105" s="70"/>
      <c r="R105" s="111"/>
      <c r="S105" s="50"/>
      <c r="T105" s="103"/>
    </row>
    <row r="106" spans="1:20" ht="20.25" customHeight="1" x14ac:dyDescent="0.45">
      <c r="A106" s="81"/>
      <c r="B106" s="112"/>
      <c r="C106" s="22"/>
      <c r="D106" s="24"/>
      <c r="E106" s="24"/>
      <c r="F106" s="118"/>
      <c r="G106" s="119"/>
      <c r="H106" s="21"/>
      <c r="I106" s="50"/>
      <c r="J106" s="100"/>
      <c r="K106" s="111"/>
      <c r="L106" s="101"/>
      <c r="M106" s="70"/>
      <c r="N106" s="102"/>
      <c r="O106" s="70"/>
      <c r="P106" s="70"/>
      <c r="Q106" s="70"/>
      <c r="R106" s="111"/>
      <c r="S106" s="50"/>
      <c r="T106" s="103"/>
    </row>
    <row r="107" spans="1:20" ht="21.75" customHeight="1" x14ac:dyDescent="0.45">
      <c r="A107" s="33"/>
      <c r="B107" s="112"/>
      <c r="C107" s="22"/>
      <c r="D107" s="24"/>
      <c r="E107" s="24"/>
      <c r="F107" s="118"/>
      <c r="G107" s="24"/>
      <c r="H107" s="21"/>
      <c r="I107" s="50"/>
      <c r="J107" s="100"/>
      <c r="K107" s="117"/>
      <c r="L107" s="113"/>
      <c r="M107" s="70"/>
      <c r="N107" s="102"/>
      <c r="O107" s="70"/>
      <c r="P107" s="70"/>
      <c r="Q107" s="120"/>
      <c r="R107" s="121"/>
      <c r="S107" s="50"/>
      <c r="T107" s="103">
        <f>+R107*0.0833333333333333*4</f>
      </c>
    </row>
    <row r="108" spans="1:20" ht="30" customHeight="1" x14ac:dyDescent="0.45">
      <c r="A108" s="293" t="s">
        <v>57</v>
      </c>
      <c r="B108" s="293"/>
      <c r="C108" s="293"/>
      <c r="D108" s="293"/>
      <c r="E108" s="293"/>
      <c r="F108" s="293"/>
      <c r="G108" s="293"/>
      <c r="H108" s="6"/>
      <c r="I108" s="169"/>
      <c r="J108" s="169"/>
      <c r="K108" s="169"/>
      <c r="L108" s="27"/>
      <c r="M108" s="169"/>
      <c r="N108" s="34" t="e">
        <f>+K108/J108</f>
      </c>
      <c r="O108" s="169">
        <f>SUM(O76:O107)</f>
      </c>
      <c r="P108" s="169">
        <f>SUM(P76:P107)</f>
      </c>
      <c r="Q108" s="169">
        <f>SUM(Q76:Q107)</f>
      </c>
      <c r="R108" s="27">
        <v>0</v>
      </c>
      <c r="S108" s="169">
        <f>SUM(S76:S107)</f>
      </c>
      <c r="T108" s="34" t="e">
        <f>+Q108/P108</f>
      </c>
    </row>
    <row r="111" spans="1:20" ht="18" x14ac:dyDescent="0.55000000000000004">
      <c r="A111" s="7"/>
      <c r="H111" s="286" t="inlineStr">
        <is>
          <t xml:space="preserve">CDI ${tax_office_name}</t>
        </is>
      </c>
      <c r="I111" s="286"/>
    </row>
    <row r="113" spans="1:20" ht="21" customHeight="1" x14ac:dyDescent="0.45">
      <c r="A113" s="287" t="s">
        <v>6</v>
      </c>
      <c r="B113" s="265" t="s">
        <v>40</v>
      </c>
      <c r="C113" s="265" t="s">
        <v>41</v>
      </c>
      <c r="D113" s="265" t="s">
        <v>42</v>
      </c>
      <c r="E113" s="287" t="s">
        <v>86</v>
      </c>
      <c r="F113" s="265" t="s">
        <v>43</v>
      </c>
      <c r="G113" s="265" t="s">
        <v>44</v>
      </c>
      <c r="H113" s="267" t="s">
        <v>45</v>
      </c>
      <c r="I113" s="265" t="s">
        <v>46</v>
      </c>
      <c r="J113" s="265"/>
      <c r="K113" s="265"/>
      <c r="L113" s="265"/>
      <c r="M113" s="265"/>
      <c r="N113" s="265"/>
      <c r="O113" s="290" t="s">
        <v>47</v>
      </c>
      <c r="P113" s="291"/>
      <c r="Q113" s="291"/>
      <c r="R113" s="291"/>
      <c r="S113" s="291"/>
      <c r="T113" s="292"/>
    </row>
    <row r="114" spans="1:20" ht="17.25" customHeight="1" x14ac:dyDescent="0.45">
      <c r="A114" s="288"/>
      <c r="B114" s="265"/>
      <c r="C114" s="265"/>
      <c r="D114" s="265"/>
      <c r="E114" s="288"/>
      <c r="F114" s="265"/>
      <c r="G114" s="265"/>
      <c r="H114" s="267"/>
      <c r="I114" s="265" t="s">
        <v>49</v>
      </c>
      <c r="J114" s="265"/>
      <c r="K114" s="265" t="s">
        <v>50</v>
      </c>
      <c r="L114" s="265"/>
      <c r="M114" s="265"/>
      <c r="N114" s="265"/>
      <c r="O114" s="265" t="s">
        <v>49</v>
      </c>
      <c r="P114" s="265"/>
      <c r="Q114" s="265" t="s">
        <v>50</v>
      </c>
      <c r="R114" s="265"/>
      <c r="S114" s="265"/>
      <c r="T114" s="265"/>
    </row>
    <row r="115" spans="1:20" ht="34.5" customHeight="1" x14ac:dyDescent="0.45">
      <c r="A115" s="289"/>
      <c r="B115" s="265"/>
      <c r="C115" s="265"/>
      <c r="D115" s="265"/>
      <c r="E115" s="289"/>
      <c r="F115" s="265"/>
      <c r="G115" s="265"/>
      <c r="H115" s="267"/>
      <c r="I115" s="67" t="s">
        <v>51</v>
      </c>
      <c r="J115" s="67" t="s">
        <v>52</v>
      </c>
      <c r="K115" s="67" t="s">
        <v>53</v>
      </c>
      <c r="L115" s="67" t="s">
        <v>54</v>
      </c>
      <c r="M115" s="67" t="s">
        <v>55</v>
      </c>
      <c r="N115" s="67" t="s">
        <v>56</v>
      </c>
      <c r="O115" s="67" t="s">
        <v>51</v>
      </c>
      <c r="P115" s="67" t="s">
        <v>52</v>
      </c>
      <c r="Q115" s="67" t="s">
        <v>53</v>
      </c>
      <c r="R115" s="67" t="s">
        <v>54</v>
      </c>
      <c r="S115" s="67" t="s">
        <v>55</v>
      </c>
      <c r="T115" s="67" t="s">
        <v>56</v>
      </c>
    </row>
    <row r="116" spans="1:20" s="95" customFormat="1" ht="23.25" customHeight="1" x14ac:dyDescent="0.45">
      <c r="A116" s="81">
        <v>1</v>
      </c>
      <c r="B116" s="82" t="inlineStr">
        <is>
          <t xml:space="preserve">${member_name}</t>
        </is>
      </c>
      <c r="C116" s="83" t="inlineStr">
        <is>
          <t xml:space="preserve">${member_ncc}</t>
        </is>
      </c>
      <c r="D116" s="84" t="inlineStr">
        <is>
          <t xml:space="preserve">${member_activity}</t>
        </is>
      </c>
      <c r="E116" s="84" t="inlineStr">
        <is>
          <t xml:space="preserve">${member_address}</t>
        </is>
      </c>
      <c r="F116" s="85" t="inlineStr">
        <is>
          <t xml:space="preserve">${membership_number_date}</t>
        </is>
      </c>
      <c r="G116" s="84" t="inlineStr">
        <is>
          <t xml:space="preserve">${member_section_parcel}</t>
        </is>
      </c>
      <c r="H116" s="86" t="inlineStr">
        <is>
          <t xml:space="preserve">${member_turnover}</t>
        </is>
      </c>
      <c r="I116" s="87">
        <f>+J116*2</f>
      </c>
      <c r="J116" s="88">
        <f>17064*12</f>
      </c>
      <c r="K116" s="87"/>
      <c r="L116" s="89"/>
      <c r="M116" s="87"/>
      <c r="N116" s="90"/>
      <c r="O116" s="87"/>
      <c r="P116" s="87"/>
      <c r="Q116" s="91"/>
      <c r="R116" s="92"/>
      <c r="S116" s="93"/>
      <c r="T116" s="94">
        <f>+R116*0.0833333333333333*4</f>
      </c>
    </row>
    <row r="117" spans="1:20" ht="25.5" customHeight="1" x14ac:dyDescent="0.45">
      <c r="A117" s="33">
        <v>2</v>
      </c>
      <c r="B117" s="96"/>
      <c r="C117" s="97"/>
      <c r="D117" s="84"/>
      <c r="E117" s="84"/>
      <c r="F117" s="98"/>
      <c r="G117" s="84"/>
      <c r="H117" s="99"/>
      <c r="I117" s="71"/>
      <c r="J117" s="100"/>
      <c r="K117" s="50"/>
      <c r="L117" s="101"/>
      <c r="M117" s="70"/>
      <c r="N117" s="102"/>
      <c r="O117" s="70"/>
      <c r="P117" s="70"/>
      <c r="Q117" s="70"/>
      <c r="R117" s="50"/>
      <c r="S117" s="50"/>
      <c r="T117" s="103">
        <f t="shared" ref="T117:T122" si="8">+R117*0.0833333333333333*4</f>
      </c>
    </row>
    <row r="118" spans="1:20" ht="24.75" customHeight="1" x14ac:dyDescent="0.45">
      <c r="A118" s="33">
        <v>3</v>
      </c>
      <c r="B118" s="250"/>
      <c r="C118" s="105"/>
      <c r="D118" s="106"/>
      <c r="E118" s="107"/>
      <c r="F118" s="108"/>
      <c r="G118" s="84"/>
      <c r="H118" s="99"/>
      <c r="I118" s="71"/>
      <c r="J118" s="100"/>
      <c r="K118" s="50"/>
      <c r="L118" s="101"/>
      <c r="M118" s="70"/>
      <c r="N118" s="102"/>
      <c r="O118" s="70"/>
      <c r="P118" s="70"/>
      <c r="Q118" s="70"/>
      <c r="R118" s="50"/>
      <c r="S118" s="50"/>
      <c r="T118" s="103">
        <f t="shared" si="8"/>
      </c>
    </row>
    <row r="119" spans="1:20" ht="24.75" customHeight="1" x14ac:dyDescent="0.45">
      <c r="A119" s="81">
        <v>4</v>
      </c>
      <c r="B119" s="109"/>
      <c r="C119" s="152"/>
      <c r="D119" s="24"/>
      <c r="E119" s="24"/>
      <c r="F119" s="110"/>
      <c r="G119" s="24"/>
      <c r="H119" s="21"/>
      <c r="I119" s="50"/>
      <c r="J119" s="100"/>
      <c r="K119" s="111"/>
      <c r="L119" s="111"/>
      <c r="M119" s="70"/>
      <c r="N119" s="102"/>
      <c r="O119" s="70"/>
      <c r="P119" s="70"/>
      <c r="Q119" s="111"/>
      <c r="R119" s="111"/>
      <c r="S119" s="50"/>
      <c r="T119" s="103">
        <f t="shared" si="8"/>
      </c>
    </row>
    <row r="120" spans="1:20" ht="24" customHeight="1" x14ac:dyDescent="0.45">
      <c r="A120" s="33">
        <v>5</v>
      </c>
      <c r="B120" s="112"/>
      <c r="C120" s="22"/>
      <c r="D120" s="24"/>
      <c r="E120" s="24"/>
      <c r="F120" s="110"/>
      <c r="G120" s="24"/>
      <c r="H120" s="21"/>
      <c r="I120" s="70"/>
      <c r="J120" s="100"/>
      <c r="K120" s="113"/>
      <c r="L120" s="101"/>
      <c r="M120" s="70"/>
      <c r="N120" s="102"/>
      <c r="O120" s="70"/>
      <c r="P120" s="70"/>
      <c r="Q120" s="111"/>
      <c r="R120" s="111"/>
      <c r="S120" s="50"/>
      <c r="T120" s="103">
        <f t="shared" si="8"/>
      </c>
    </row>
    <row r="121" spans="1:20" ht="24" customHeight="1" x14ac:dyDescent="0.45">
      <c r="A121" s="33">
        <v>6</v>
      </c>
      <c r="B121" s="114"/>
      <c r="C121" s="105"/>
      <c r="D121" s="24"/>
      <c r="E121" s="115"/>
      <c r="F121" s="110"/>
      <c r="G121" s="116"/>
      <c r="H121" s="21"/>
      <c r="I121" s="70"/>
      <c r="J121" s="100"/>
      <c r="K121" s="70"/>
      <c r="L121" s="101"/>
      <c r="M121" s="70"/>
      <c r="N121" s="102"/>
      <c r="O121" s="70"/>
      <c r="P121" s="70"/>
      <c r="Q121" s="50"/>
      <c r="R121" s="117"/>
      <c r="S121" s="50"/>
      <c r="T121" s="103">
        <f t="shared" si="8"/>
      </c>
    </row>
    <row r="122" spans="1:20" ht="20.25" customHeight="1" x14ac:dyDescent="0.45">
      <c r="A122" s="81">
        <v>7</v>
      </c>
      <c r="B122" s="112"/>
      <c r="C122" s="22"/>
      <c r="D122" s="24"/>
      <c r="E122" s="24"/>
      <c r="F122" s="118"/>
      <c r="G122" s="119"/>
      <c r="H122" s="21"/>
      <c r="I122" s="50"/>
      <c r="J122" s="100"/>
      <c r="K122" s="111"/>
      <c r="L122" s="101"/>
      <c r="M122" s="70"/>
      <c r="N122" s="102"/>
      <c r="O122" s="70"/>
      <c r="P122" s="70"/>
      <c r="Q122" s="70"/>
      <c r="R122" s="111"/>
      <c r="S122" s="50"/>
      <c r="T122" s="103">
        <f t="shared" si="8"/>
      </c>
    </row>
    <row r="123" spans="1:20" ht="20.25" customHeight="1" x14ac:dyDescent="0.45">
      <c r="A123" s="81">
        <v>8</v>
      </c>
      <c r="B123" s="112"/>
      <c r="C123" s="22"/>
      <c r="D123" s="24"/>
      <c r="E123" s="24"/>
      <c r="F123" s="118"/>
      <c r="G123" s="119"/>
      <c r="H123" s="21"/>
      <c r="I123" s="50"/>
      <c r="J123" s="100"/>
      <c r="K123" s="111"/>
      <c r="L123" s="101"/>
      <c r="M123" s="70"/>
      <c r="N123" s="102"/>
      <c r="O123" s="70"/>
      <c r="P123" s="70"/>
      <c r="Q123" s="70"/>
      <c r="R123" s="111"/>
      <c r="S123" s="50"/>
      <c r="T123" s="103"/>
    </row>
    <row r="124" spans="1:20" ht="20.25" customHeight="1" x14ac:dyDescent="0.45">
      <c r="A124" s="81">
        <v>9</v>
      </c>
      <c r="B124" s="112"/>
      <c r="C124" s="22"/>
      <c r="D124" s="24"/>
      <c r="E124" s="24"/>
      <c r="F124" s="118"/>
      <c r="G124" s="119"/>
      <c r="H124" s="21"/>
      <c r="I124" s="50"/>
      <c r="J124" s="100"/>
      <c r="K124" s="111"/>
      <c r="L124" s="101"/>
      <c r="M124" s="70"/>
      <c r="N124" s="102"/>
      <c r="O124" s="70"/>
      <c r="P124" s="70"/>
      <c r="Q124" s="70"/>
      <c r="R124" s="111"/>
      <c r="S124" s="50"/>
      <c r="T124" s="103"/>
    </row>
    <row r="125" spans="1:20" ht="20.25" customHeight="1" x14ac:dyDescent="0.45">
      <c r="A125" s="81"/>
      <c r="B125" s="112"/>
      <c r="C125" s="22"/>
      <c r="D125" s="24"/>
      <c r="E125" s="24"/>
      <c r="F125" s="118"/>
      <c r="G125" s="119"/>
      <c r="H125" s="21"/>
      <c r="I125" s="50"/>
      <c r="J125" s="100"/>
      <c r="K125" s="111"/>
      <c r="L125" s="101"/>
      <c r="M125" s="70"/>
      <c r="N125" s="102"/>
      <c r="O125" s="70"/>
      <c r="P125" s="70"/>
      <c r="Q125" s="70"/>
      <c r="R125" s="111"/>
      <c r="S125" s="50"/>
      <c r="T125" s="103"/>
    </row>
    <row r="126" spans="1:20" ht="21.75" customHeight="1" x14ac:dyDescent="0.45">
      <c r="A126" s="33"/>
      <c r="B126" s="112"/>
      <c r="C126" s="22"/>
      <c r="D126" s="24"/>
      <c r="E126" s="24"/>
      <c r="F126" s="118"/>
      <c r="G126" s="24"/>
      <c r="H126" s="21"/>
      <c r="I126" s="50"/>
      <c r="J126" s="100"/>
      <c r="K126" s="117"/>
      <c r="L126" s="113"/>
      <c r="M126" s="70"/>
      <c r="N126" s="102"/>
      <c r="O126" s="70"/>
      <c r="P126" s="70"/>
      <c r="Q126" s="120"/>
      <c r="R126" s="121"/>
      <c r="S126" s="50"/>
      <c r="T126" s="103">
        <f>+R126*0.0833333333333333*4</f>
      </c>
    </row>
    <row r="127" spans="1:20" ht="30" customHeight="1" x14ac:dyDescent="0.45">
      <c r="A127" s="293" t="s">
        <v>57</v>
      </c>
      <c r="B127" s="293"/>
      <c r="C127" s="293"/>
      <c r="D127" s="293"/>
      <c r="E127" s="293"/>
      <c r="F127" s="293"/>
      <c r="G127" s="293"/>
      <c r="H127" s="6"/>
      <c r="I127" s="169"/>
      <c r="J127" s="169"/>
      <c r="K127" s="169"/>
      <c r="L127" s="27"/>
      <c r="M127" s="169"/>
      <c r="N127" s="34" t="e">
        <f>+K127/J127</f>
      </c>
      <c r="O127" s="169">
        <f>SUM(O116:O126)</f>
      </c>
      <c r="P127" s="169">
        <f>SUM(P116:P126)</f>
      </c>
      <c r="Q127" s="169">
        <f>SUM(Q116:Q126)</f>
      </c>
      <c r="R127" s="27">
        <v>0</v>
      </c>
      <c r="S127" s="169">
        <f>SUM(S116:S126)</f>
      </c>
      <c r="T127" s="34" t="e">
        <f>+Q127/P127</f>
      </c>
    </row>
    <row r="129" spans="1:20" ht="18" x14ac:dyDescent="0.55000000000000004">
      <c r="A129" s="7"/>
      <c r="H129" s="286" t="inlineStr">
        <is>
          <t xml:space="preserve">CDI ${tax_office_name}</t>
        </is>
      </c>
      <c r="I129" s="286"/>
    </row>
    <row r="131" spans="1:20" ht="21" customHeight="1" x14ac:dyDescent="0.45">
      <c r="A131" s="287" t="s">
        <v>6</v>
      </c>
      <c r="B131" s="265" t="s">
        <v>40</v>
      </c>
      <c r="C131" s="265" t="s">
        <v>41</v>
      </c>
      <c r="D131" s="265" t="s">
        <v>42</v>
      </c>
      <c r="E131" s="287" t="s">
        <v>86</v>
      </c>
      <c r="F131" s="265" t="s">
        <v>43</v>
      </c>
      <c r="G131" s="265" t="s">
        <v>44</v>
      </c>
      <c r="H131" s="267" t="s">
        <v>45</v>
      </c>
      <c r="I131" s="265" t="s">
        <v>46</v>
      </c>
      <c r="J131" s="265"/>
      <c r="K131" s="265"/>
      <c r="L131" s="265"/>
      <c r="M131" s="265"/>
      <c r="N131" s="265"/>
      <c r="O131" s="290" t="s">
        <v>47</v>
      </c>
      <c r="P131" s="291"/>
      <c r="Q131" s="291"/>
      <c r="R131" s="291"/>
      <c r="S131" s="291"/>
      <c r="T131" s="292"/>
    </row>
    <row r="132" spans="1:20" ht="17.25" customHeight="1" x14ac:dyDescent="0.45">
      <c r="A132" s="288"/>
      <c r="B132" s="265"/>
      <c r="C132" s="265"/>
      <c r="D132" s="265"/>
      <c r="E132" s="288"/>
      <c r="F132" s="265"/>
      <c r="G132" s="265"/>
      <c r="H132" s="267"/>
      <c r="I132" s="265" t="s">
        <v>49</v>
      </c>
      <c r="J132" s="265"/>
      <c r="K132" s="265" t="s">
        <v>50</v>
      </c>
      <c r="L132" s="265"/>
      <c r="M132" s="265"/>
      <c r="N132" s="265"/>
      <c r="O132" s="265" t="s">
        <v>49</v>
      </c>
      <c r="P132" s="265"/>
      <c r="Q132" s="265" t="s">
        <v>50</v>
      </c>
      <c r="R132" s="265"/>
      <c r="S132" s="265"/>
      <c r="T132" s="265"/>
    </row>
    <row r="133" spans="1:20" ht="34.5" customHeight="1" x14ac:dyDescent="0.45">
      <c r="A133" s="289"/>
      <c r="B133" s="265"/>
      <c r="C133" s="265"/>
      <c r="D133" s="265"/>
      <c r="E133" s="289"/>
      <c r="F133" s="265"/>
      <c r="G133" s="265"/>
      <c r="H133" s="267"/>
      <c r="I133" s="67" t="s">
        <v>51</v>
      </c>
      <c r="J133" s="67" t="s">
        <v>52</v>
      </c>
      <c r="K133" s="67" t="s">
        <v>53</v>
      </c>
      <c r="L133" s="67" t="s">
        <v>54</v>
      </c>
      <c r="M133" s="67" t="s">
        <v>55</v>
      </c>
      <c r="N133" s="67" t="s">
        <v>56</v>
      </c>
      <c r="O133" s="67" t="s">
        <v>51</v>
      </c>
      <c r="P133" s="67" t="s">
        <v>52</v>
      </c>
      <c r="Q133" s="67" t="s">
        <v>53</v>
      </c>
      <c r="R133" s="67" t="s">
        <v>54</v>
      </c>
      <c r="S133" s="67" t="s">
        <v>55</v>
      </c>
      <c r="T133" s="67" t="s">
        <v>56</v>
      </c>
    </row>
    <row r="134" spans="1:20" s="95" customFormat="1" ht="23.25" customHeight="1" x14ac:dyDescent="0.45">
      <c r="A134" s="81">
        <v>1</v>
      </c>
      <c r="B134" s="82" t="inlineStr">
        <is>
          <t xml:space="preserve">${member_name}</t>
        </is>
      </c>
      <c r="C134" s="83" t="inlineStr">
        <is>
          <t xml:space="preserve">${member_ncc}</t>
        </is>
      </c>
      <c r="D134" s="84" t="inlineStr">
        <is>
          <t xml:space="preserve">${member_activity}</t>
        </is>
      </c>
      <c r="E134" s="84" t="inlineStr">
        <is>
          <t xml:space="preserve">${member_address}</t>
        </is>
      </c>
      <c r="F134" s="85" t="inlineStr">
        <is>
          <t xml:space="preserve">${membership_number_date}</t>
        </is>
      </c>
      <c r="G134" s="84" t="inlineStr">
        <is>
          <t xml:space="preserve">${member_section_parcel}</t>
        </is>
      </c>
      <c r="H134" s="86" t="inlineStr">
        <is>
          <t xml:space="preserve">${member_turnover}</t>
        </is>
      </c>
      <c r="I134" s="87"/>
      <c r="J134" s="88"/>
      <c r="K134" s="87"/>
      <c r="L134" s="89"/>
      <c r="M134" s="87"/>
      <c r="N134" s="90"/>
      <c r="O134" s="87"/>
      <c r="P134" s="87"/>
      <c r="Q134" s="91"/>
      <c r="R134" s="92"/>
      <c r="S134" s="93"/>
      <c r="T134" s="94">
        <f>+R134*0.0833333333333333*4</f>
      </c>
    </row>
    <row r="135" spans="1:20" ht="25.5" customHeight="1" x14ac:dyDescent="0.45">
      <c r="A135" s="33">
        <v>2</v>
      </c>
      <c r="B135" s="96"/>
      <c r="C135" s="97"/>
      <c r="D135" s="84"/>
      <c r="E135" s="84"/>
      <c r="F135" s="98"/>
      <c r="G135" s="84"/>
      <c r="H135" s="99"/>
      <c r="I135" s="87"/>
      <c r="J135" s="100"/>
      <c r="K135" s="50"/>
      <c r="L135" s="101"/>
      <c r="M135" s="70"/>
      <c r="N135" s="102"/>
      <c r="O135" s="70"/>
      <c r="P135" s="70"/>
      <c r="Q135" s="70"/>
      <c r="R135" s="50"/>
      <c r="S135" s="50"/>
      <c r="T135" s="103">
        <f t="shared" ref="T135:T136" si="9">+R135*0.0833333333333333*4</f>
      </c>
    </row>
    <row r="136" spans="1:20" ht="24.75" customHeight="1" x14ac:dyDescent="0.45">
      <c r="A136" s="33">
        <v>3</v>
      </c>
      <c r="B136" s="104"/>
      <c r="C136" s="105"/>
      <c r="D136" s="106"/>
      <c r="E136" s="107"/>
      <c r="F136" s="108"/>
      <c r="G136" s="84"/>
      <c r="H136" s="99"/>
      <c r="I136" s="87"/>
      <c r="J136" s="100"/>
      <c r="K136" s="50"/>
      <c r="L136" s="101"/>
      <c r="M136" s="70"/>
      <c r="N136" s="102"/>
      <c r="O136" s="70"/>
      <c r="P136" s="70"/>
      <c r="Q136" s="70"/>
      <c r="R136" s="50"/>
      <c r="S136" s="50"/>
      <c r="T136" s="103">
        <f t="shared" si="9"/>
      </c>
    </row>
    <row r="137" spans="1:20" ht="20.25" customHeight="1" x14ac:dyDescent="0.45">
      <c r="A137" s="81">
        <v>4</v>
      </c>
      <c r="B137" s="112"/>
      <c r="C137" s="22"/>
      <c r="D137" s="24"/>
      <c r="E137" s="24"/>
      <c r="F137" s="118"/>
      <c r="G137" s="119"/>
      <c r="H137" s="21"/>
      <c r="I137" s="50"/>
      <c r="J137" s="100"/>
      <c r="K137" s="111"/>
      <c r="L137" s="101"/>
      <c r="M137" s="70"/>
      <c r="N137" s="102"/>
      <c r="O137" s="70"/>
      <c r="P137" s="70"/>
      <c r="Q137" s="70"/>
      <c r="R137" s="111"/>
      <c r="S137" s="50"/>
      <c r="T137" s="103"/>
    </row>
    <row r="138" spans="1:20" ht="20.25" customHeight="1" x14ac:dyDescent="0.45">
      <c r="A138" s="81">
        <v>5</v>
      </c>
      <c r="B138" s="112"/>
      <c r="C138" s="22"/>
      <c r="D138" s="24"/>
      <c r="E138" s="24"/>
      <c r="F138" s="118"/>
      <c r="G138" s="119"/>
      <c r="H138" s="21"/>
      <c r="I138" s="50"/>
      <c r="J138" s="100"/>
      <c r="K138" s="111"/>
      <c r="L138" s="101"/>
      <c r="M138" s="70"/>
      <c r="N138" s="102"/>
      <c r="O138" s="70"/>
      <c r="P138" s="70"/>
      <c r="Q138" s="70"/>
      <c r="R138" s="111"/>
      <c r="S138" s="50"/>
      <c r="T138" s="103"/>
    </row>
    <row r="139" spans="1:20" ht="20.25" customHeight="1" x14ac:dyDescent="0.45">
      <c r="A139" s="81">
        <v>6</v>
      </c>
      <c r="B139" s="112"/>
      <c r="C139" s="22"/>
      <c r="D139" s="24"/>
      <c r="E139" s="24"/>
      <c r="F139" s="118"/>
      <c r="G139" s="119"/>
      <c r="H139" s="21"/>
      <c r="I139" s="50"/>
      <c r="J139" s="100"/>
      <c r="K139" s="111"/>
      <c r="L139" s="101"/>
      <c r="M139" s="70"/>
      <c r="N139" s="102"/>
      <c r="O139" s="70"/>
      <c r="P139" s="70"/>
      <c r="Q139" s="70"/>
      <c r="R139" s="111"/>
      <c r="S139" s="50"/>
      <c r="T139" s="103"/>
    </row>
    <row r="140" spans="1:20" ht="20.25" customHeight="1" x14ac:dyDescent="0.45">
      <c r="A140" s="81">
        <v>7</v>
      </c>
      <c r="B140" s="112"/>
      <c r="C140" s="22"/>
      <c r="D140" s="24"/>
      <c r="E140" s="24"/>
      <c r="F140" s="118"/>
      <c r="G140" s="119"/>
      <c r="H140" s="21"/>
      <c r="I140" s="50"/>
      <c r="J140" s="100"/>
      <c r="K140" s="111"/>
      <c r="L140" s="101"/>
      <c r="M140" s="70"/>
      <c r="N140" s="102"/>
      <c r="O140" s="70"/>
      <c r="P140" s="70"/>
      <c r="Q140" s="70"/>
      <c r="R140" s="111"/>
      <c r="S140" s="50"/>
      <c r="T140" s="103"/>
    </row>
    <row r="141" spans="1:20" ht="20.25" customHeight="1" x14ac:dyDescent="0.45">
      <c r="A141" s="81">
        <v>8</v>
      </c>
      <c r="B141" s="112"/>
      <c r="C141" s="22"/>
      <c r="D141" s="24"/>
      <c r="E141" s="24"/>
      <c r="F141" s="118"/>
      <c r="G141" s="119"/>
      <c r="H141" s="21"/>
      <c r="I141" s="50"/>
      <c r="J141" s="100"/>
      <c r="K141" s="111"/>
      <c r="L141" s="101"/>
      <c r="M141" s="70"/>
      <c r="N141" s="102"/>
      <c r="O141" s="70"/>
      <c r="P141" s="70"/>
      <c r="Q141" s="70"/>
      <c r="R141" s="111"/>
      <c r="S141" s="50"/>
      <c r="T141" s="103"/>
    </row>
    <row r="142" spans="1:20" ht="20.25" customHeight="1" x14ac:dyDescent="0.45">
      <c r="A142" s="81"/>
      <c r="B142" s="112"/>
      <c r="C142" s="22"/>
      <c r="D142" s="24"/>
      <c r="E142" s="24"/>
      <c r="F142" s="118"/>
      <c r="G142" s="119"/>
      <c r="H142" s="21"/>
      <c r="I142" s="50"/>
      <c r="J142" s="100"/>
      <c r="K142" s="111"/>
      <c r="L142" s="101"/>
      <c r="M142" s="70"/>
      <c r="N142" s="102"/>
      <c r="O142" s="70"/>
      <c r="P142" s="70"/>
      <c r="Q142" s="70"/>
      <c r="R142" s="111"/>
      <c r="S142" s="50"/>
      <c r="T142" s="103"/>
    </row>
    <row r="143" spans="1:20" ht="21.75" customHeight="1" x14ac:dyDescent="0.45">
      <c r="A143" s="33"/>
      <c r="B143" s="112"/>
      <c r="C143" s="22"/>
      <c r="D143" s="24"/>
      <c r="E143" s="24"/>
      <c r="F143" s="118"/>
      <c r="G143" s="24"/>
      <c r="H143" s="21"/>
      <c r="I143" s="50"/>
      <c r="J143" s="100"/>
      <c r="K143" s="117"/>
      <c r="L143" s="113"/>
      <c r="M143" s="70"/>
      <c r="N143" s="102"/>
      <c r="O143" s="70"/>
      <c r="P143" s="70"/>
      <c r="Q143" s="120"/>
      <c r="R143" s="121"/>
      <c r="S143" s="50"/>
      <c r="T143" s="103">
        <f>+R143*0.0833333333333333*4</f>
      </c>
    </row>
    <row r="144" spans="1:20" ht="30" customHeight="1" x14ac:dyDescent="0.45">
      <c r="A144" s="293" t="s">
        <v>57</v>
      </c>
      <c r="B144" s="293"/>
      <c r="C144" s="293"/>
      <c r="D144" s="293"/>
      <c r="E144" s="293"/>
      <c r="F144" s="293"/>
      <c r="G144" s="293"/>
      <c r="H144" s="6"/>
      <c r="I144" s="169"/>
      <c r="J144" s="169"/>
      <c r="K144" s="169"/>
      <c r="L144" s="27"/>
      <c r="M144" s="169"/>
      <c r="N144" s="34" t="e">
        <f>+K144/J144</f>
      </c>
      <c r="O144" s="169">
        <f>SUM(O134:O143)</f>
      </c>
      <c r="P144" s="169">
        <f>SUM(P134:P143)</f>
      </c>
      <c r="Q144" s="169">
        <f>SUM(Q134:Q143)</f>
      </c>
      <c r="R144" s="27">
        <v>0</v>
      </c>
      <c r="S144" s="169">
        <f>SUM(S134:S143)</f>
      </c>
      <c r="T144" s="34" t="e">
        <f>+Q144/P144</f>
      </c>
    </row>
    <row r="147" spans="1:20" ht="18" x14ac:dyDescent="0.55000000000000004">
      <c r="A147" s="7"/>
      <c r="H147" s="286" t="inlineStr">
        <is>
          <t xml:space="preserve">CDI ${tax_office_name}</t>
        </is>
      </c>
      <c r="I147" s="286"/>
    </row>
    <row r="149" spans="1:20" ht="21" customHeight="1" x14ac:dyDescent="0.45">
      <c r="A149" s="287" t="s">
        <v>6</v>
      </c>
      <c r="B149" s="265" t="s">
        <v>40</v>
      </c>
      <c r="C149" s="265" t="s">
        <v>41</v>
      </c>
      <c r="D149" s="265" t="s">
        <v>42</v>
      </c>
      <c r="E149" s="287" t="s">
        <v>86</v>
      </c>
      <c r="F149" s="265" t="s">
        <v>43</v>
      </c>
      <c r="G149" s="265" t="s">
        <v>44</v>
      </c>
      <c r="H149" s="267" t="s">
        <v>45</v>
      </c>
      <c r="I149" s="265" t="s">
        <v>46</v>
      </c>
      <c r="J149" s="265"/>
      <c r="K149" s="265"/>
      <c r="L149" s="265"/>
      <c r="M149" s="265"/>
      <c r="N149" s="265"/>
      <c r="O149" s="290" t="s">
        <v>47</v>
      </c>
      <c r="P149" s="291"/>
      <c r="Q149" s="291"/>
      <c r="R149" s="291"/>
      <c r="S149" s="291"/>
      <c r="T149" s="292"/>
    </row>
    <row r="150" spans="1:20" ht="17.25" customHeight="1" x14ac:dyDescent="0.45">
      <c r="A150" s="288"/>
      <c r="B150" s="265"/>
      <c r="C150" s="265"/>
      <c r="D150" s="265"/>
      <c r="E150" s="288"/>
      <c r="F150" s="265"/>
      <c r="G150" s="265"/>
      <c r="H150" s="267"/>
      <c r="I150" s="265" t="s">
        <v>49</v>
      </c>
      <c r="J150" s="265"/>
      <c r="K150" s="265" t="s">
        <v>50</v>
      </c>
      <c r="L150" s="265"/>
      <c r="M150" s="265"/>
      <c r="N150" s="265"/>
      <c r="O150" s="265" t="s">
        <v>49</v>
      </c>
      <c r="P150" s="265"/>
      <c r="Q150" s="265" t="s">
        <v>50</v>
      </c>
      <c r="R150" s="265"/>
      <c r="S150" s="265"/>
      <c r="T150" s="265"/>
    </row>
    <row r="151" spans="1:20" ht="34.5" customHeight="1" x14ac:dyDescent="0.45">
      <c r="A151" s="289"/>
      <c r="B151" s="265"/>
      <c r="C151" s="265"/>
      <c r="D151" s="265"/>
      <c r="E151" s="289"/>
      <c r="F151" s="265"/>
      <c r="G151" s="265"/>
      <c r="H151" s="267"/>
      <c r="I151" s="67" t="s">
        <v>51</v>
      </c>
      <c r="J151" s="67" t="s">
        <v>52</v>
      </c>
      <c r="K151" s="67" t="s">
        <v>53</v>
      </c>
      <c r="L151" s="67" t="s">
        <v>54</v>
      </c>
      <c r="M151" s="67" t="s">
        <v>55</v>
      </c>
      <c r="N151" s="67" t="s">
        <v>56</v>
      </c>
      <c r="O151" s="67" t="s">
        <v>51</v>
      </c>
      <c r="P151" s="67" t="s">
        <v>52</v>
      </c>
      <c r="Q151" s="67" t="s">
        <v>53</v>
      </c>
      <c r="R151" s="67" t="s">
        <v>54</v>
      </c>
      <c r="S151" s="67" t="s">
        <v>55</v>
      </c>
      <c r="T151" s="67" t="s">
        <v>56</v>
      </c>
    </row>
    <row r="152" spans="1:20" s="95" customFormat="1" ht="23.25" customHeight="1" x14ac:dyDescent="0.45">
      <c r="A152" s="81">
        <v>1</v>
      </c>
      <c r="B152" s="82" t="inlineStr">
        <is>
          <t xml:space="preserve">${member_name}</t>
        </is>
      </c>
      <c r="C152" s="83" t="inlineStr">
        <is>
          <t xml:space="preserve">${member_ncc}</t>
        </is>
      </c>
      <c r="D152" s="84" t="inlineStr">
        <is>
          <t xml:space="preserve">${member_activity}</t>
        </is>
      </c>
      <c r="E152" s="84" t="inlineStr">
        <is>
          <t xml:space="preserve">${member_address}</t>
        </is>
      </c>
      <c r="F152" s="85" t="inlineStr">
        <is>
          <t xml:space="preserve">${membership_number_date}</t>
        </is>
      </c>
      <c r="G152" s="84" t="inlineStr">
        <is>
          <t xml:space="preserve">${member_section_parcel}</t>
        </is>
      </c>
      <c r="H152" s="86" t="inlineStr">
        <is>
          <t xml:space="preserve">${member_turnover}</t>
        </is>
      </c>
      <c r="I152" s="87"/>
      <c r="J152" s="88"/>
      <c r="K152" s="87"/>
      <c r="L152" s="89"/>
      <c r="M152" s="87"/>
      <c r="N152" s="90"/>
      <c r="O152" s="87"/>
      <c r="P152" s="87"/>
      <c r="Q152" s="91"/>
      <c r="R152" s="92"/>
      <c r="S152" s="93"/>
      <c r="T152" s="94">
        <f>+R152*0.0833333333333333*4</f>
      </c>
    </row>
    <row r="153" spans="1:20" ht="25.5" customHeight="1" x14ac:dyDescent="0.45">
      <c r="A153" s="33">
        <v>2</v>
      </c>
      <c r="B153" s="96"/>
      <c r="C153" s="97"/>
      <c r="D153" s="84"/>
      <c r="E153" s="84"/>
      <c r="F153" s="98"/>
      <c r="G153" s="84"/>
      <c r="H153" s="99"/>
      <c r="I153" s="71"/>
      <c r="J153" s="100"/>
      <c r="K153" s="50"/>
      <c r="L153" s="101"/>
      <c r="M153" s="70"/>
      <c r="N153" s="102"/>
      <c r="O153" s="70"/>
      <c r="P153" s="70"/>
      <c r="Q153" s="70"/>
      <c r="R153" s="50"/>
      <c r="S153" s="50"/>
      <c r="T153" s="103">
        <f t="shared" ref="T153:T154" si="10">+R153*0.0833333333333333*4</f>
      </c>
    </row>
    <row r="154" spans="1:20" ht="24.75" customHeight="1" x14ac:dyDescent="0.45">
      <c r="A154" s="33">
        <v>3</v>
      </c>
      <c r="B154" s="104"/>
      <c r="C154" s="105"/>
      <c r="D154" s="106"/>
      <c r="E154" s="107"/>
      <c r="F154" s="108"/>
      <c r="G154" s="84"/>
      <c r="H154" s="99"/>
      <c r="I154" s="71"/>
      <c r="J154" s="100"/>
      <c r="K154" s="50"/>
      <c r="L154" s="101"/>
      <c r="M154" s="70"/>
      <c r="N154" s="102"/>
      <c r="O154" s="70"/>
      <c r="P154" s="70"/>
      <c r="Q154" s="70"/>
      <c r="R154" s="50"/>
      <c r="S154" s="50"/>
      <c r="T154" s="103">
        <f t="shared" si="10"/>
      </c>
    </row>
    <row r="155" spans="1:20" ht="20.25" customHeight="1" x14ac:dyDescent="0.45">
      <c r="A155" s="81">
        <v>10</v>
      </c>
      <c r="B155" s="112"/>
      <c r="C155" s="22"/>
      <c r="D155" s="24"/>
      <c r="E155" s="24"/>
      <c r="F155" s="118"/>
      <c r="G155" s="119"/>
      <c r="H155" s="21"/>
      <c r="I155" s="50"/>
      <c r="J155" s="100"/>
      <c r="K155" s="111"/>
      <c r="L155" s="101"/>
      <c r="M155" s="70"/>
      <c r="N155" s="102"/>
      <c r="O155" s="70"/>
      <c r="P155" s="70"/>
      <c r="Q155" s="70"/>
      <c r="R155" s="111"/>
      <c r="S155" s="50"/>
      <c r="T155" s="103"/>
    </row>
    <row r="156" spans="1:20" ht="20.25" customHeight="1" x14ac:dyDescent="0.45">
      <c r="A156" s="81">
        <v>11</v>
      </c>
      <c r="B156" s="112"/>
      <c r="C156" s="22"/>
      <c r="D156" s="24"/>
      <c r="E156" s="24"/>
      <c r="F156" s="118"/>
      <c r="G156" s="119"/>
      <c r="H156" s="21"/>
      <c r="I156" s="50"/>
      <c r="J156" s="100"/>
      <c r="K156" s="111"/>
      <c r="L156" s="101"/>
      <c r="M156" s="70"/>
      <c r="N156" s="102"/>
      <c r="O156" s="70"/>
      <c r="P156" s="70"/>
      <c r="Q156" s="70"/>
      <c r="R156" s="111"/>
      <c r="S156" s="50"/>
      <c r="T156" s="103"/>
    </row>
    <row r="157" spans="1:20" ht="20.25" customHeight="1" x14ac:dyDescent="0.45">
      <c r="A157" s="81">
        <v>12</v>
      </c>
      <c r="B157" s="112"/>
      <c r="C157" s="22"/>
      <c r="D157" s="24"/>
      <c r="E157" s="24"/>
      <c r="F157" s="118"/>
      <c r="G157" s="119"/>
      <c r="H157" s="21"/>
      <c r="I157" s="50"/>
      <c r="J157" s="100"/>
      <c r="K157" s="111"/>
      <c r="L157" s="101"/>
      <c r="M157" s="70"/>
      <c r="N157" s="102"/>
      <c r="O157" s="70"/>
      <c r="P157" s="70"/>
      <c r="Q157" s="70"/>
      <c r="R157" s="111"/>
      <c r="S157" s="50"/>
      <c r="T157" s="103"/>
    </row>
    <row r="158" spans="1:20" ht="20.25" customHeight="1" x14ac:dyDescent="0.45">
      <c r="A158" s="81">
        <v>13</v>
      </c>
      <c r="B158" s="112"/>
      <c r="C158" s="22"/>
      <c r="D158" s="24"/>
      <c r="E158" s="24"/>
      <c r="F158" s="118"/>
      <c r="G158" s="119"/>
      <c r="H158" s="21"/>
      <c r="I158" s="50"/>
      <c r="J158" s="100"/>
      <c r="K158" s="111"/>
      <c r="L158" s="101"/>
      <c r="M158" s="70"/>
      <c r="N158" s="102"/>
      <c r="O158" s="70"/>
      <c r="P158" s="70"/>
      <c r="Q158" s="70"/>
      <c r="R158" s="111"/>
      <c r="S158" s="50"/>
      <c r="T158" s="103"/>
    </row>
    <row r="159" spans="1:20" ht="20.25" customHeight="1" x14ac:dyDescent="0.45">
      <c r="A159" s="81">
        <v>14</v>
      </c>
      <c r="B159" s="112"/>
      <c r="C159" s="22"/>
      <c r="D159" s="24"/>
      <c r="E159" s="24"/>
      <c r="F159" s="118"/>
      <c r="G159" s="119"/>
      <c r="H159" s="21"/>
      <c r="I159" s="50"/>
      <c r="J159" s="100"/>
      <c r="K159" s="111"/>
      <c r="L159" s="101"/>
      <c r="M159" s="70"/>
      <c r="N159" s="102"/>
      <c r="O159" s="70"/>
      <c r="P159" s="70"/>
      <c r="Q159" s="70"/>
      <c r="R159" s="111"/>
      <c r="S159" s="50"/>
      <c r="T159" s="103"/>
    </row>
    <row r="160" spans="1:20" ht="20.25" customHeight="1" x14ac:dyDescent="0.45">
      <c r="A160" s="81">
        <v>15</v>
      </c>
      <c r="B160" s="112"/>
      <c r="C160" s="22"/>
      <c r="D160" s="24"/>
      <c r="E160" s="24"/>
      <c r="F160" s="118"/>
      <c r="G160" s="119"/>
      <c r="H160" s="21"/>
      <c r="I160" s="50"/>
      <c r="J160" s="100"/>
      <c r="K160" s="111"/>
      <c r="L160" s="101"/>
      <c r="M160" s="70"/>
      <c r="N160" s="102"/>
      <c r="O160" s="70"/>
      <c r="P160" s="70"/>
      <c r="Q160" s="70"/>
      <c r="R160" s="111"/>
      <c r="S160" s="50"/>
      <c r="T160" s="103"/>
    </row>
    <row r="161" spans="1:20" ht="20.25" customHeight="1" x14ac:dyDescent="0.45">
      <c r="A161" s="81">
        <v>16</v>
      </c>
      <c r="B161" s="112"/>
      <c r="C161" s="22"/>
      <c r="D161" s="24"/>
      <c r="E161" s="24"/>
      <c r="F161" s="118"/>
      <c r="G161" s="119"/>
      <c r="H161" s="21"/>
      <c r="I161" s="50"/>
      <c r="J161" s="100"/>
      <c r="K161" s="111"/>
      <c r="L161" s="101"/>
      <c r="M161" s="70"/>
      <c r="N161" s="102"/>
      <c r="O161" s="70"/>
      <c r="P161" s="70"/>
      <c r="Q161" s="70"/>
      <c r="R161" s="111"/>
      <c r="S161" s="50"/>
      <c r="T161" s="103"/>
    </row>
    <row r="162" spans="1:20" ht="20.25" customHeight="1" x14ac:dyDescent="0.45">
      <c r="A162" s="81">
        <v>17</v>
      </c>
      <c r="B162" s="251"/>
      <c r="C162" s="22"/>
      <c r="D162" s="24"/>
      <c r="E162" s="24"/>
      <c r="F162" s="118"/>
      <c r="G162" s="119"/>
      <c r="H162" s="21"/>
      <c r="I162" s="50"/>
      <c r="J162" s="100"/>
      <c r="K162" s="111"/>
      <c r="L162" s="101"/>
      <c r="M162" s="70"/>
      <c r="N162" s="102"/>
      <c r="O162" s="70"/>
      <c r="P162" s="70"/>
      <c r="Q162" s="70"/>
      <c r="R162" s="111"/>
      <c r="S162" s="50"/>
      <c r="T162" s="103"/>
    </row>
    <row r="163" spans="1:20" ht="20.25" customHeight="1" x14ac:dyDescent="0.45">
      <c r="A163" s="81">
        <v>18</v>
      </c>
      <c r="B163" s="112"/>
      <c r="C163" s="22"/>
      <c r="D163" s="24"/>
      <c r="E163" s="24"/>
      <c r="F163" s="118"/>
      <c r="G163" s="119"/>
      <c r="H163" s="21"/>
      <c r="I163" s="50"/>
      <c r="J163" s="100"/>
      <c r="K163" s="111"/>
      <c r="L163" s="101"/>
      <c r="M163" s="70"/>
      <c r="N163" s="102"/>
      <c r="O163" s="70"/>
      <c r="P163" s="70"/>
      <c r="Q163" s="70"/>
      <c r="R163" s="111"/>
      <c r="S163" s="50"/>
      <c r="T163" s="103"/>
    </row>
    <row r="164" spans="1:20" ht="20.25" customHeight="1" x14ac:dyDescent="0.45">
      <c r="A164" s="81">
        <v>19</v>
      </c>
      <c r="B164" s="112"/>
      <c r="C164" s="22"/>
      <c r="D164" s="24"/>
      <c r="E164" s="24"/>
      <c r="F164" s="118"/>
      <c r="G164" s="119"/>
      <c r="H164" s="21"/>
      <c r="I164" s="50"/>
      <c r="J164" s="100"/>
      <c r="K164" s="111"/>
      <c r="L164" s="101"/>
      <c r="M164" s="70"/>
      <c r="N164" s="102"/>
      <c r="O164" s="70"/>
      <c r="P164" s="70"/>
      <c r="Q164" s="70"/>
      <c r="R164" s="111"/>
      <c r="S164" s="50"/>
      <c r="T164" s="103"/>
    </row>
    <row r="165" spans="1:20" ht="20.25" customHeight="1" x14ac:dyDescent="0.45">
      <c r="A165" s="81"/>
      <c r="B165" s="112"/>
      <c r="C165" s="22"/>
      <c r="D165" s="24"/>
      <c r="E165" s="24"/>
      <c r="F165" s="118"/>
      <c r="G165" s="119"/>
      <c r="H165" s="21"/>
      <c r="I165" s="50"/>
      <c r="J165" s="100"/>
      <c r="K165" s="111"/>
      <c r="L165" s="101"/>
      <c r="M165" s="70"/>
      <c r="N165" s="102"/>
      <c r="O165" s="70"/>
      <c r="P165" s="70"/>
      <c r="Q165" s="70"/>
      <c r="R165" s="111"/>
      <c r="S165" s="50"/>
      <c r="T165" s="103"/>
    </row>
    <row r="166" spans="1:20" ht="20.25" customHeight="1" x14ac:dyDescent="0.45">
      <c r="A166" s="81"/>
      <c r="B166" s="112"/>
      <c r="C166" s="22"/>
      <c r="D166" s="24"/>
      <c r="E166" s="24"/>
      <c r="F166" s="118"/>
      <c r="G166" s="119"/>
      <c r="H166" s="21"/>
      <c r="I166" s="50"/>
      <c r="J166" s="100"/>
      <c r="K166" s="111"/>
      <c r="L166" s="101"/>
      <c r="M166" s="70"/>
      <c r="N166" s="102"/>
      <c r="O166" s="70"/>
      <c r="P166" s="70"/>
      <c r="Q166" s="70"/>
      <c r="R166" s="111"/>
      <c r="S166" s="50"/>
      <c r="T166" s="103"/>
    </row>
    <row r="167" spans="1:20" ht="21.75" customHeight="1" x14ac:dyDescent="0.45">
      <c r="A167" s="33"/>
      <c r="B167" s="112"/>
      <c r="C167" s="22"/>
      <c r="D167" s="24"/>
      <c r="E167" s="24"/>
      <c r="F167" s="118"/>
      <c r="G167" s="24"/>
      <c r="H167" s="21"/>
      <c r="I167" s="50"/>
      <c r="J167" s="100"/>
      <c r="K167" s="117"/>
      <c r="L167" s="113"/>
      <c r="M167" s="70"/>
      <c r="N167" s="102"/>
      <c r="O167" s="70"/>
      <c r="P167" s="70"/>
      <c r="Q167" s="120"/>
      <c r="R167" s="121"/>
      <c r="S167" s="50"/>
      <c r="T167" s="103">
        <f>+R167*0.0833333333333333*4</f>
      </c>
    </row>
    <row r="168" spans="1:20" ht="30" customHeight="1" x14ac:dyDescent="0.45">
      <c r="A168" s="293" t="s">
        <v>57</v>
      </c>
      <c r="B168" s="293"/>
      <c r="C168" s="293"/>
      <c r="D168" s="293"/>
      <c r="E168" s="293"/>
      <c r="F168" s="293"/>
      <c r="G168" s="293"/>
      <c r="H168" s="6"/>
      <c r="I168" s="169"/>
      <c r="J168" s="169"/>
      <c r="K168" s="169"/>
      <c r="L168" s="27"/>
      <c r="M168" s="169"/>
      <c r="N168" s="34" t="e">
        <f>+K168/J168</f>
      </c>
      <c r="O168" s="169">
        <f>SUM(O152:O167)</f>
      </c>
      <c r="P168" s="169">
        <f>SUM(P152:P167)</f>
      </c>
      <c r="Q168" s="169">
        <f>SUM(Q152:Q167)</f>
      </c>
      <c r="R168" s="27">
        <v>0</v>
      </c>
      <c r="S168" s="169">
        <f>SUM(S152:S167)</f>
      </c>
      <c r="T168" s="34" t="e">
        <f>+Q168/P168</f>
      </c>
    </row>
    <row r="170" spans="1:20" ht="18" x14ac:dyDescent="0.55000000000000004">
      <c r="A170" s="7"/>
      <c r="H170" s="286" t="inlineStr">
        <is>
          <t xml:space="preserve">CDI ${tax_office_name}</t>
        </is>
      </c>
      <c r="I170" s="286"/>
    </row>
    <row r="172" spans="1:20" ht="21" customHeight="1" x14ac:dyDescent="0.45">
      <c r="A172" s="287" t="s">
        <v>6</v>
      </c>
      <c r="B172" s="265" t="s">
        <v>40</v>
      </c>
      <c r="C172" s="265" t="s">
        <v>41</v>
      </c>
      <c r="D172" s="265" t="s">
        <v>42</v>
      </c>
      <c r="E172" s="287" t="s">
        <v>86</v>
      </c>
      <c r="F172" s="265" t="s">
        <v>43</v>
      </c>
      <c r="G172" s="265" t="s">
        <v>44</v>
      </c>
      <c r="H172" s="267" t="s">
        <v>45</v>
      </c>
      <c r="I172" s="265" t="s">
        <v>46</v>
      </c>
      <c r="J172" s="265"/>
      <c r="K172" s="265"/>
      <c r="L172" s="265"/>
      <c r="M172" s="265"/>
      <c r="N172" s="265"/>
      <c r="O172" s="290" t="s">
        <v>47</v>
      </c>
      <c r="P172" s="291"/>
      <c r="Q172" s="291"/>
      <c r="R172" s="291"/>
      <c r="S172" s="291"/>
      <c r="T172" s="292"/>
    </row>
    <row r="173" spans="1:20" ht="17.25" customHeight="1" x14ac:dyDescent="0.45">
      <c r="A173" s="288"/>
      <c r="B173" s="265"/>
      <c r="C173" s="265"/>
      <c r="D173" s="265"/>
      <c r="E173" s="288"/>
      <c r="F173" s="265"/>
      <c r="G173" s="265"/>
      <c r="H173" s="267"/>
      <c r="I173" s="265" t="s">
        <v>49</v>
      </c>
      <c r="J173" s="265"/>
      <c r="K173" s="265" t="s">
        <v>50</v>
      </c>
      <c r="L173" s="265"/>
      <c r="M173" s="265"/>
      <c r="N173" s="265"/>
      <c r="O173" s="265" t="s">
        <v>49</v>
      </c>
      <c r="P173" s="265"/>
      <c r="Q173" s="265" t="s">
        <v>50</v>
      </c>
      <c r="R173" s="265"/>
      <c r="S173" s="265"/>
      <c r="T173" s="265"/>
    </row>
    <row r="174" spans="1:20" ht="34.5" customHeight="1" x14ac:dyDescent="0.45">
      <c r="A174" s="289"/>
      <c r="B174" s="265"/>
      <c r="C174" s="265"/>
      <c r="D174" s="265"/>
      <c r="E174" s="289"/>
      <c r="F174" s="265"/>
      <c r="G174" s="265"/>
      <c r="H174" s="267"/>
      <c r="I174" s="67" t="s">
        <v>51</v>
      </c>
      <c r="J174" s="67" t="s">
        <v>52</v>
      </c>
      <c r="K174" s="67" t="s">
        <v>53</v>
      </c>
      <c r="L174" s="67" t="s">
        <v>54</v>
      </c>
      <c r="M174" s="67" t="s">
        <v>55</v>
      </c>
      <c r="N174" s="67" t="s">
        <v>56</v>
      </c>
      <c r="O174" s="67" t="s">
        <v>51</v>
      </c>
      <c r="P174" s="67" t="s">
        <v>52</v>
      </c>
      <c r="Q174" s="67" t="s">
        <v>53</v>
      </c>
      <c r="R174" s="67" t="s">
        <v>54</v>
      </c>
      <c r="S174" s="67" t="s">
        <v>55</v>
      </c>
      <c r="T174" s="67" t="s">
        <v>56</v>
      </c>
    </row>
    <row r="175" spans="1:20" s="95" customFormat="1" ht="23.25" customHeight="1" x14ac:dyDescent="0.45">
      <c r="A175" s="81">
        <v>1</v>
      </c>
      <c r="B175" s="82" t="inlineStr">
        <is>
          <t xml:space="preserve">${member_name}</t>
        </is>
      </c>
      <c r="C175" s="83" t="inlineStr">
        <is>
          <t xml:space="preserve">${member_ncc}</t>
        </is>
      </c>
      <c r="D175" s="84" t="inlineStr">
        <is>
          <t xml:space="preserve">${member_activity}</t>
        </is>
      </c>
      <c r="E175" s="84" t="inlineStr">
        <is>
          <t xml:space="preserve">${member_address}</t>
        </is>
      </c>
      <c r="F175" s="85" t="inlineStr">
        <is>
          <t xml:space="preserve">${membership_number_date}</t>
        </is>
      </c>
      <c r="G175" s="84" t="inlineStr">
        <is>
          <t xml:space="preserve">${member_section_parcel}</t>
        </is>
      </c>
      <c r="H175" s="86" t="inlineStr">
        <is>
          <t xml:space="preserve">${member_turnover}</t>
        </is>
      </c>
      <c r="I175" s="87">
        <f>+J175*2</f>
      </c>
      <c r="J175" s="88">
        <f>17064*12</f>
      </c>
      <c r="K175" s="87"/>
      <c r="L175" s="89"/>
      <c r="M175" s="87"/>
      <c r="N175" s="90"/>
      <c r="O175" s="87"/>
      <c r="P175" s="87"/>
      <c r="Q175" s="91"/>
      <c r="R175" s="92"/>
      <c r="S175" s="93"/>
      <c r="T175" s="94">
        <f>+R175*0.0833333333333333*4</f>
      </c>
    </row>
    <row r="176" spans="1:20" ht="25.5" customHeight="1" x14ac:dyDescent="0.45">
      <c r="A176" s="33">
        <v>2</v>
      </c>
      <c r="B176" s="96"/>
      <c r="C176" s="97"/>
      <c r="D176" s="84"/>
      <c r="E176" s="84"/>
      <c r="F176" s="98"/>
      <c r="G176" s="84"/>
      <c r="H176" s="99"/>
      <c r="I176" s="71"/>
      <c r="J176" s="100"/>
      <c r="K176" s="50"/>
      <c r="L176" s="101"/>
      <c r="M176" s="70"/>
      <c r="N176" s="102"/>
      <c r="O176" s="70"/>
      <c r="P176" s="70"/>
      <c r="Q176" s="70"/>
      <c r="R176" s="50"/>
      <c r="S176" s="50"/>
      <c r="T176" s="103">
        <f t="shared" ref="T176:T181" si="11">+R176*0.0833333333333333*4</f>
      </c>
    </row>
    <row r="177" spans="1:20" ht="24.75" customHeight="1" x14ac:dyDescent="0.45">
      <c r="A177" s="33">
        <v>3</v>
      </c>
      <c r="B177" s="104"/>
      <c r="C177" s="105"/>
      <c r="D177" s="106"/>
      <c r="E177" s="107"/>
      <c r="F177" s="108"/>
      <c r="G177" s="84"/>
      <c r="H177" s="99"/>
      <c r="I177" s="71"/>
      <c r="J177" s="100"/>
      <c r="K177" s="50"/>
      <c r="L177" s="101"/>
      <c r="M177" s="70"/>
      <c r="N177" s="102"/>
      <c r="O177" s="70"/>
      <c r="P177" s="70"/>
      <c r="Q177" s="70"/>
      <c r="R177" s="50"/>
      <c r="S177" s="50"/>
      <c r="T177" s="103">
        <f t="shared" si="11"/>
      </c>
    </row>
    <row r="178" spans="1:20" ht="24.75" customHeight="1" x14ac:dyDescent="0.45">
      <c r="A178" s="81">
        <v>4</v>
      </c>
      <c r="B178" s="109"/>
      <c r="C178" s="152"/>
      <c r="D178" s="24"/>
      <c r="E178" s="82"/>
      <c r="F178" s="110"/>
      <c r="G178" s="24"/>
      <c r="H178" s="21"/>
      <c r="I178" s="50"/>
      <c r="J178" s="100"/>
      <c r="K178" s="111"/>
      <c r="L178" s="111"/>
      <c r="M178" s="70"/>
      <c r="N178" s="102"/>
      <c r="O178" s="70"/>
      <c r="P178" s="70"/>
      <c r="Q178" s="111"/>
      <c r="R178" s="111"/>
      <c r="S178" s="50"/>
      <c r="T178" s="103">
        <f t="shared" si="11"/>
      </c>
    </row>
    <row r="179" spans="1:20" ht="24" customHeight="1" x14ac:dyDescent="0.45">
      <c r="A179" s="33">
        <v>5</v>
      </c>
      <c r="B179" s="112"/>
      <c r="C179" s="22"/>
      <c r="D179" s="24"/>
      <c r="E179" s="24"/>
      <c r="F179" s="110"/>
      <c r="G179" s="24"/>
      <c r="H179" s="21"/>
      <c r="I179" s="70"/>
      <c r="J179" s="100"/>
      <c r="K179" s="113"/>
      <c r="L179" s="101"/>
      <c r="M179" s="70"/>
      <c r="N179" s="102"/>
      <c r="O179" s="70"/>
      <c r="P179" s="70"/>
      <c r="Q179" s="111"/>
      <c r="R179" s="111"/>
      <c r="S179" s="50"/>
      <c r="T179" s="103">
        <f t="shared" si="11"/>
      </c>
    </row>
    <row r="180" spans="1:20" ht="24" customHeight="1" x14ac:dyDescent="0.45">
      <c r="A180" s="33">
        <v>6</v>
      </c>
      <c r="B180" s="114"/>
      <c r="C180" s="105"/>
      <c r="D180" s="24"/>
      <c r="E180" s="115"/>
      <c r="F180" s="110"/>
      <c r="G180" s="116"/>
      <c r="H180" s="21"/>
      <c r="I180" s="70"/>
      <c r="J180" s="100"/>
      <c r="K180" s="70"/>
      <c r="L180" s="101"/>
      <c r="M180" s="70"/>
      <c r="N180" s="102"/>
      <c r="O180" s="70"/>
      <c r="P180" s="70"/>
      <c r="Q180" s="50"/>
      <c r="R180" s="117"/>
      <c r="S180" s="50"/>
      <c r="T180" s="103">
        <f t="shared" si="11"/>
      </c>
    </row>
    <row r="181" spans="1:20" ht="20.25" customHeight="1" x14ac:dyDescent="0.45">
      <c r="A181" s="81">
        <v>7</v>
      </c>
      <c r="B181" s="112"/>
      <c r="C181" s="22"/>
      <c r="D181" s="24"/>
      <c r="E181" s="24"/>
      <c r="F181" s="118"/>
      <c r="G181" s="119"/>
      <c r="H181" s="21"/>
      <c r="I181" s="50"/>
      <c r="J181" s="100"/>
      <c r="K181" s="111"/>
      <c r="L181" s="101"/>
      <c r="M181" s="70"/>
      <c r="N181" s="102"/>
      <c r="O181" s="70"/>
      <c r="P181" s="70"/>
      <c r="Q181" s="70"/>
      <c r="R181" s="111"/>
      <c r="S181" s="50"/>
      <c r="T181" s="103">
        <f t="shared" si="11"/>
      </c>
    </row>
    <row r="182" spans="1:20" ht="20.25" customHeight="1" x14ac:dyDescent="0.45">
      <c r="A182" s="81">
        <v>8</v>
      </c>
      <c r="B182" s="112"/>
      <c r="C182" s="22"/>
      <c r="D182" s="24"/>
      <c r="E182" s="24"/>
      <c r="F182" s="118"/>
      <c r="G182" s="119"/>
      <c r="H182" s="21"/>
      <c r="I182" s="50"/>
      <c r="J182" s="100"/>
      <c r="K182" s="111"/>
      <c r="L182" s="101"/>
      <c r="M182" s="70"/>
      <c r="N182" s="102"/>
      <c r="O182" s="70"/>
      <c r="P182" s="70"/>
      <c r="Q182" s="70"/>
      <c r="R182" s="111"/>
      <c r="S182" s="50"/>
      <c r="T182" s="103"/>
    </row>
    <row r="183" spans="1:20" ht="20.25" customHeight="1" x14ac:dyDescent="0.45">
      <c r="A183" s="81">
        <v>9</v>
      </c>
      <c r="B183" s="112"/>
      <c r="C183" s="22"/>
      <c r="D183" s="24"/>
      <c r="E183" s="24"/>
      <c r="F183" s="118"/>
      <c r="G183" s="119"/>
      <c r="H183" s="21"/>
      <c r="I183" s="50"/>
      <c r="J183" s="100"/>
      <c r="K183" s="111"/>
      <c r="L183" s="101"/>
      <c r="M183" s="70"/>
      <c r="N183" s="102"/>
      <c r="O183" s="70"/>
      <c r="P183" s="70"/>
      <c r="Q183" s="70"/>
      <c r="R183" s="111"/>
      <c r="S183" s="50"/>
      <c r="T183" s="103"/>
    </row>
    <row r="184" spans="1:20" ht="20.25" customHeight="1" x14ac:dyDescent="0.45">
      <c r="A184" s="81">
        <v>10</v>
      </c>
      <c r="B184" s="112"/>
      <c r="C184" s="22"/>
      <c r="D184" s="24"/>
      <c r="E184" s="24"/>
      <c r="F184" s="118"/>
      <c r="G184" s="119"/>
      <c r="H184" s="21"/>
      <c r="I184" s="50"/>
      <c r="J184" s="100"/>
      <c r="K184" s="111"/>
      <c r="L184" s="101"/>
      <c r="M184" s="70"/>
      <c r="N184" s="102"/>
      <c r="O184" s="70"/>
      <c r="P184" s="70"/>
      <c r="Q184" s="70"/>
      <c r="R184" s="111"/>
      <c r="S184" s="50"/>
      <c r="T184" s="103"/>
    </row>
    <row r="185" spans="1:20" ht="20.25" customHeight="1" x14ac:dyDescent="0.45">
      <c r="A185" s="81">
        <v>11</v>
      </c>
      <c r="B185" s="112"/>
      <c r="C185" s="22"/>
      <c r="D185" s="24"/>
      <c r="E185" s="24"/>
      <c r="F185" s="118"/>
      <c r="G185" s="119"/>
      <c r="H185" s="21"/>
      <c r="I185" s="50"/>
      <c r="J185" s="100"/>
      <c r="K185" s="111"/>
      <c r="L185" s="101"/>
      <c r="M185" s="70"/>
      <c r="N185" s="102"/>
      <c r="O185" s="70"/>
      <c r="P185" s="70"/>
      <c r="Q185" s="70"/>
      <c r="R185" s="111"/>
      <c r="S185" s="50"/>
      <c r="T185" s="103"/>
    </row>
    <row r="186" spans="1:20" ht="20.25" customHeight="1" x14ac:dyDescent="0.45">
      <c r="A186" s="81">
        <v>12</v>
      </c>
      <c r="B186" s="112"/>
      <c r="C186" s="22"/>
      <c r="D186" s="24"/>
      <c r="E186" s="24"/>
      <c r="F186" s="118"/>
      <c r="G186" s="119"/>
      <c r="H186" s="21"/>
      <c r="I186" s="50"/>
      <c r="J186" s="100"/>
      <c r="K186" s="111"/>
      <c r="L186" s="101"/>
      <c r="M186" s="70"/>
      <c r="N186" s="102"/>
      <c r="O186" s="70"/>
      <c r="P186" s="70"/>
      <c r="Q186" s="70"/>
      <c r="R186" s="111"/>
      <c r="S186" s="50"/>
      <c r="T186" s="103"/>
    </row>
    <row r="187" spans="1:20" ht="20.25" customHeight="1" x14ac:dyDescent="0.45">
      <c r="A187" s="81">
        <v>13</v>
      </c>
      <c r="B187" s="112"/>
      <c r="C187" s="22"/>
      <c r="D187" s="24"/>
      <c r="E187" s="24"/>
      <c r="F187" s="118"/>
      <c r="G187" s="119"/>
      <c r="H187" s="21"/>
      <c r="I187" s="50"/>
      <c r="J187" s="100"/>
      <c r="K187" s="111"/>
      <c r="L187" s="101"/>
      <c r="M187" s="70"/>
      <c r="N187" s="102"/>
      <c r="O187" s="70"/>
      <c r="P187" s="70"/>
      <c r="Q187" s="70"/>
      <c r="R187" s="111"/>
      <c r="S187" s="50"/>
      <c r="T187" s="103"/>
    </row>
    <row r="188" spans="1:20" ht="20.25" customHeight="1" x14ac:dyDescent="0.45">
      <c r="A188" s="81">
        <v>14</v>
      </c>
      <c r="B188" s="112"/>
      <c r="C188" s="22"/>
      <c r="D188" s="24"/>
      <c r="E188" s="24"/>
      <c r="F188" s="118"/>
      <c r="G188" s="119"/>
      <c r="H188" s="21"/>
      <c r="I188" s="50"/>
      <c r="J188" s="100"/>
      <c r="K188" s="111"/>
      <c r="L188" s="101"/>
      <c r="M188" s="70"/>
      <c r="N188" s="102"/>
      <c r="O188" s="70"/>
      <c r="P188" s="70"/>
      <c r="Q188" s="70"/>
      <c r="R188" s="111"/>
      <c r="S188" s="50"/>
      <c r="T188" s="103"/>
    </row>
    <row r="189" spans="1:20" ht="20.25" customHeight="1" x14ac:dyDescent="0.45">
      <c r="A189" s="81">
        <v>15</v>
      </c>
      <c r="B189" s="112"/>
      <c r="C189" s="22"/>
      <c r="D189" s="24"/>
      <c r="E189" s="24"/>
      <c r="F189" s="118"/>
      <c r="G189" s="119"/>
      <c r="H189" s="21"/>
      <c r="I189" s="50"/>
      <c r="J189" s="100"/>
      <c r="K189" s="111"/>
      <c r="L189" s="101"/>
      <c r="M189" s="70"/>
      <c r="N189" s="102"/>
      <c r="O189" s="70"/>
      <c r="P189" s="70"/>
      <c r="Q189" s="70"/>
      <c r="R189" s="111"/>
      <c r="S189" s="50"/>
      <c r="T189" s="103"/>
    </row>
    <row r="190" spans="1:20" ht="20.25" customHeight="1" x14ac:dyDescent="0.45">
      <c r="A190" s="81">
        <v>16</v>
      </c>
      <c r="B190" s="112"/>
      <c r="C190" s="22"/>
      <c r="D190" s="24"/>
      <c r="E190" s="24"/>
      <c r="F190" s="118"/>
      <c r="G190" s="119"/>
      <c r="H190" s="21"/>
      <c r="I190" s="50"/>
      <c r="J190" s="100"/>
      <c r="K190" s="111"/>
      <c r="L190" s="101"/>
      <c r="M190" s="70"/>
      <c r="N190" s="102"/>
      <c r="O190" s="70"/>
      <c r="P190" s="70"/>
      <c r="Q190" s="70"/>
      <c r="R190" s="111"/>
      <c r="S190" s="50"/>
      <c r="T190" s="103"/>
    </row>
    <row r="191" spans="1:20" ht="20.25" customHeight="1" x14ac:dyDescent="0.45">
      <c r="A191" s="81">
        <v>17</v>
      </c>
      <c r="B191" s="112"/>
      <c r="C191" s="22"/>
      <c r="D191" s="24"/>
      <c r="E191" s="24"/>
      <c r="F191" s="118"/>
      <c r="G191" s="119"/>
      <c r="H191" s="21"/>
      <c r="I191" s="50"/>
      <c r="J191" s="100"/>
      <c r="K191" s="111"/>
      <c r="L191" s="101"/>
      <c r="M191" s="70"/>
      <c r="N191" s="102"/>
      <c r="O191" s="70"/>
      <c r="P191" s="70"/>
      <c r="Q191" s="70"/>
      <c r="R191" s="111"/>
      <c r="S191" s="50"/>
      <c r="T191" s="103"/>
    </row>
    <row r="192" spans="1:20" ht="20.25" customHeight="1" x14ac:dyDescent="0.45">
      <c r="A192" s="81"/>
      <c r="B192" s="112"/>
      <c r="C192" s="22"/>
      <c r="D192" s="24"/>
      <c r="E192" s="24"/>
      <c r="F192" s="118"/>
      <c r="G192" s="119"/>
      <c r="H192" s="21"/>
      <c r="I192" s="50"/>
      <c r="J192" s="100"/>
      <c r="K192" s="111"/>
      <c r="L192" s="101"/>
      <c r="M192" s="70"/>
      <c r="N192" s="102"/>
      <c r="O192" s="70"/>
      <c r="P192" s="70"/>
      <c r="Q192" s="70"/>
      <c r="R192" s="111"/>
      <c r="S192" s="50"/>
      <c r="T192" s="103"/>
    </row>
    <row r="193" spans="1:20" ht="20.25" customHeight="1" x14ac:dyDescent="0.45">
      <c r="A193" s="81"/>
      <c r="B193" s="112"/>
      <c r="C193" s="22"/>
      <c r="D193" s="24"/>
      <c r="E193" s="24"/>
      <c r="F193" s="118"/>
      <c r="G193" s="119"/>
      <c r="H193" s="21"/>
      <c r="I193" s="50"/>
      <c r="J193" s="100"/>
      <c r="K193" s="111"/>
      <c r="L193" s="101"/>
      <c r="M193" s="70"/>
      <c r="N193" s="102"/>
      <c r="O193" s="70"/>
      <c r="P193" s="70"/>
      <c r="Q193" s="70"/>
      <c r="R193" s="111"/>
      <c r="S193" s="50"/>
      <c r="T193" s="103"/>
    </row>
    <row r="194" spans="1:20" ht="20.25" customHeight="1" x14ac:dyDescent="0.45">
      <c r="A194" s="81"/>
      <c r="B194" s="112"/>
      <c r="C194" s="22"/>
      <c r="D194" s="24"/>
      <c r="E194" s="24"/>
      <c r="F194" s="118"/>
      <c r="G194" s="119"/>
      <c r="H194" s="21"/>
      <c r="I194" s="50"/>
      <c r="J194" s="100"/>
      <c r="K194" s="111"/>
      <c r="L194" s="101"/>
      <c r="M194" s="70"/>
      <c r="N194" s="102"/>
      <c r="O194" s="70"/>
      <c r="P194" s="70"/>
      <c r="Q194" s="70"/>
      <c r="R194" s="111"/>
      <c r="S194" s="50"/>
      <c r="T194" s="103"/>
    </row>
    <row r="195" spans="1:20" ht="20.25" customHeight="1" x14ac:dyDescent="0.45">
      <c r="A195" s="81"/>
      <c r="B195" s="112"/>
      <c r="C195" s="22"/>
      <c r="D195" s="24"/>
      <c r="E195" s="24"/>
      <c r="F195" s="118"/>
      <c r="G195" s="119"/>
      <c r="H195" s="21"/>
      <c r="I195" s="50"/>
      <c r="J195" s="100"/>
      <c r="K195" s="111"/>
      <c r="L195" s="101"/>
      <c r="M195" s="70"/>
      <c r="N195" s="102"/>
      <c r="O195" s="70"/>
      <c r="P195" s="70"/>
      <c r="Q195" s="70"/>
      <c r="R195" s="111"/>
      <c r="S195" s="50"/>
      <c r="T195" s="103"/>
    </row>
    <row r="196" spans="1:20" ht="21.75" customHeight="1" x14ac:dyDescent="0.45">
      <c r="A196" s="33"/>
      <c r="B196" s="112"/>
      <c r="C196" s="22"/>
      <c r="D196" s="24"/>
      <c r="E196" s="24"/>
      <c r="F196" s="118"/>
      <c r="G196" s="24"/>
      <c r="H196" s="21"/>
      <c r="I196" s="50"/>
      <c r="J196" s="100"/>
      <c r="K196" s="117"/>
      <c r="L196" s="113"/>
      <c r="M196" s="70"/>
      <c r="N196" s="102"/>
      <c r="O196" s="70"/>
      <c r="P196" s="70"/>
      <c r="Q196" s="120"/>
      <c r="R196" s="121"/>
      <c r="S196" s="50"/>
      <c r="T196" s="103">
        <f>+R196*0.0833333333333333*4</f>
      </c>
    </row>
    <row r="197" spans="1:20" ht="30" customHeight="1" x14ac:dyDescent="0.45">
      <c r="A197" s="294" t="s">
        <v>57</v>
      </c>
      <c r="B197" s="295"/>
      <c r="C197" s="295"/>
      <c r="D197" s="295"/>
      <c r="E197" s="295"/>
      <c r="F197" s="295"/>
      <c r="G197" s="296"/>
      <c r="H197" s="6"/>
      <c r="I197" s="169"/>
      <c r="J197" s="169"/>
      <c r="K197" s="169"/>
      <c r="L197" s="27"/>
      <c r="M197" s="169"/>
      <c r="N197" s="34" t="e">
        <f>+K197/J197</f>
      </c>
      <c r="O197" s="169">
        <f>SUM(O175:O196)</f>
      </c>
      <c r="P197" s="169">
        <f>SUM(P175:P196)</f>
      </c>
      <c r="Q197" s="169">
        <f>SUM(Q175:Q196)</f>
      </c>
      <c r="R197" s="27">
        <v>0</v>
      </c>
      <c r="S197" s="169">
        <f>SUM(S175:S196)</f>
      </c>
      <c r="T197" s="34" t="e">
        <f>+Q197/P197</f>
      </c>
    </row>
    <row r="199" spans="1:20" ht="18" x14ac:dyDescent="0.55000000000000004">
      <c r="A199" s="7"/>
      <c r="H199" s="286" t="inlineStr">
        <is>
          <t xml:space="preserve">CDI ${tax_office_name}</t>
        </is>
      </c>
      <c r="I199" s="286"/>
    </row>
    <row r="201" spans="1:20" ht="15" customHeight="1" x14ac:dyDescent="0.45">
      <c r="A201" s="287" t="s">
        <v>6</v>
      </c>
      <c r="B201" s="265" t="s">
        <v>40</v>
      </c>
      <c r="C201" s="265" t="s">
        <v>41</v>
      </c>
      <c r="D201" s="265" t="s">
        <v>42</v>
      </c>
      <c r="E201" s="287" t="s">
        <v>86</v>
      </c>
      <c r="F201" s="265" t="s">
        <v>43</v>
      </c>
      <c r="G201" s="265" t="s">
        <v>44</v>
      </c>
      <c r="H201" s="267" t="s">
        <v>45</v>
      </c>
      <c r="I201" s="265" t="s">
        <v>46</v>
      </c>
      <c r="J201" s="265"/>
      <c r="K201" s="265"/>
      <c r="L201" s="265"/>
      <c r="M201" s="265"/>
      <c r="N201" s="265"/>
      <c r="O201" s="290" t="s">
        <v>47</v>
      </c>
      <c r="P201" s="291"/>
      <c r="Q201" s="291"/>
      <c r="R201" s="291"/>
      <c r="S201" s="291"/>
      <c r="T201" s="292"/>
    </row>
    <row r="202" spans="1:20" ht="15" customHeight="1" x14ac:dyDescent="0.45">
      <c r="A202" s="288"/>
      <c r="B202" s="265"/>
      <c r="C202" s="265"/>
      <c r="D202" s="265"/>
      <c r="E202" s="288"/>
      <c r="F202" s="265"/>
      <c r="G202" s="265"/>
      <c r="H202" s="267"/>
      <c r="I202" s="265" t="s">
        <v>49</v>
      </c>
      <c r="J202" s="265"/>
      <c r="K202" s="265" t="s">
        <v>50</v>
      </c>
      <c r="L202" s="265"/>
      <c r="M202" s="265"/>
      <c r="N202" s="265"/>
      <c r="O202" s="265" t="s">
        <v>49</v>
      </c>
      <c r="P202" s="265"/>
      <c r="Q202" s="265" t="s">
        <v>50</v>
      </c>
      <c r="R202" s="265"/>
      <c r="S202" s="265"/>
      <c r="T202" s="265"/>
    </row>
    <row r="203" spans="1:20" ht="33" customHeight="1" x14ac:dyDescent="0.45">
      <c r="A203" s="289"/>
      <c r="B203" s="265"/>
      <c r="C203" s="265"/>
      <c r="D203" s="265"/>
      <c r="E203" s="289"/>
      <c r="F203" s="265"/>
      <c r="G203" s="265"/>
      <c r="H203" s="267"/>
      <c r="I203" s="67" t="s">
        <v>51</v>
      </c>
      <c r="J203" s="67" t="s">
        <v>52</v>
      </c>
      <c r="K203" s="67" t="s">
        <v>53</v>
      </c>
      <c r="L203" s="67" t="s">
        <v>54</v>
      </c>
      <c r="M203" s="67" t="s">
        <v>55</v>
      </c>
      <c r="N203" s="67" t="s">
        <v>56</v>
      </c>
      <c r="O203" s="67" t="s">
        <v>51</v>
      </c>
      <c r="P203" s="67" t="s">
        <v>52</v>
      </c>
      <c r="Q203" s="67" t="s">
        <v>53</v>
      </c>
      <c r="R203" s="67" t="s">
        <v>54</v>
      </c>
      <c r="S203" s="67" t="s">
        <v>55</v>
      </c>
      <c r="T203" s="67" t="s">
        <v>56</v>
      </c>
    </row>
    <row r="204" spans="1:20" ht="27.75" customHeight="1" x14ac:dyDescent="0.45">
      <c r="A204" s="81">
        <v>1</v>
      </c>
      <c r="B204" s="82" t="inlineStr">
        <is>
          <t xml:space="preserve">${member_name}</t>
        </is>
      </c>
      <c r="C204" s="83" t="inlineStr">
        <is>
          <t xml:space="preserve">${member_ncc}</t>
        </is>
      </c>
      <c r="D204" s="84" t="inlineStr">
        <is>
          <t xml:space="preserve">${member_activity}</t>
        </is>
      </c>
      <c r="E204" s="84" t="inlineStr">
        <is>
          <t xml:space="preserve">${member_address}</t>
        </is>
      </c>
      <c r="F204" s="85" t="inlineStr">
        <is>
          <t xml:space="preserve">${membership_number_date}</t>
        </is>
      </c>
      <c r="G204" s="84" t="inlineStr">
        <is>
          <t xml:space="preserve">${member_section_parcel}</t>
        </is>
      </c>
      <c r="H204" s="86" t="inlineStr">
        <is>
          <t xml:space="preserve">${member_turnover}</t>
        </is>
      </c>
      <c r="I204" s="87"/>
      <c r="J204" s="88"/>
      <c r="K204" s="87"/>
      <c r="L204" s="89"/>
      <c r="M204" s="87"/>
      <c r="N204" s="90"/>
      <c r="O204" s="87"/>
      <c r="P204" s="87"/>
      <c r="Q204" s="91"/>
      <c r="R204" s="92"/>
      <c r="S204" s="93"/>
      <c r="T204" s="94">
        <f>+R204*0.0833333333333333*4</f>
      </c>
    </row>
    <row r="205" spans="1:20" ht="34.5" customHeight="1" x14ac:dyDescent="0.45">
      <c r="A205" s="33">
        <v>2</v>
      </c>
      <c r="B205" s="96"/>
      <c r="C205" s="97"/>
      <c r="D205" s="84"/>
      <c r="E205" s="84"/>
      <c r="F205" s="98"/>
      <c r="G205" s="84"/>
      <c r="H205" s="99"/>
      <c r="I205" s="87"/>
      <c r="J205" s="100"/>
      <c r="K205" s="50"/>
      <c r="L205" s="101"/>
      <c r="M205" s="70"/>
      <c r="N205" s="102"/>
      <c r="O205" s="70"/>
      <c r="P205" s="70"/>
      <c r="Q205" s="70"/>
      <c r="R205" s="50"/>
      <c r="S205" s="50"/>
      <c r="T205" s="103">
        <f t="shared" ref="T205:T206" si="12">+R205*0.0833333333333333*4</f>
      </c>
    </row>
    <row r="206" spans="1:20" ht="34.5" customHeight="1" x14ac:dyDescent="0.45">
      <c r="A206" s="33">
        <v>3</v>
      </c>
      <c r="B206" s="104"/>
      <c r="C206" s="105"/>
      <c r="D206" s="106"/>
      <c r="E206" s="107"/>
      <c r="F206" s="108"/>
      <c r="G206" s="84"/>
      <c r="H206" s="99"/>
      <c r="I206" s="87"/>
      <c r="J206" s="100"/>
      <c r="K206" s="50"/>
      <c r="L206" s="101"/>
      <c r="M206" s="70"/>
      <c r="N206" s="102"/>
      <c r="O206" s="70"/>
      <c r="P206" s="70"/>
      <c r="Q206" s="70"/>
      <c r="R206" s="50"/>
      <c r="S206" s="50"/>
      <c r="T206" s="103">
        <f t="shared" si="12"/>
      </c>
    </row>
    <row r="207" spans="1:20" ht="32.25" customHeight="1" x14ac:dyDescent="0.45">
      <c r="A207" s="81">
        <v>4</v>
      </c>
      <c r="B207" s="112"/>
      <c r="C207" s="22"/>
      <c r="D207" s="24"/>
      <c r="E207" s="24"/>
      <c r="F207" s="118"/>
      <c r="G207" s="119"/>
      <c r="H207" s="21"/>
      <c r="I207" s="50"/>
      <c r="J207" s="100"/>
      <c r="K207" s="111"/>
      <c r="L207" s="101"/>
      <c r="M207" s="70"/>
      <c r="N207" s="102"/>
      <c r="O207" s="70"/>
      <c r="P207" s="70"/>
      <c r="Q207" s="70"/>
      <c r="R207" s="111"/>
      <c r="S207" s="50"/>
      <c r="T207" s="103"/>
    </row>
    <row r="208" spans="1:20" ht="31.5" customHeight="1" x14ac:dyDescent="0.45">
      <c r="A208" s="81">
        <v>5</v>
      </c>
      <c r="B208" s="112"/>
      <c r="C208" s="22"/>
      <c r="D208" s="24"/>
      <c r="E208" s="24"/>
      <c r="F208" s="118"/>
      <c r="G208" s="119"/>
      <c r="H208" s="21"/>
      <c r="I208" s="50"/>
      <c r="J208" s="100"/>
      <c r="K208" s="111"/>
      <c r="L208" s="101"/>
      <c r="M208" s="70"/>
      <c r="N208" s="102"/>
      <c r="O208" s="70"/>
      <c r="P208" s="70"/>
      <c r="Q208" s="70"/>
      <c r="R208" s="111"/>
      <c r="S208" s="50"/>
      <c r="T208" s="103"/>
    </row>
    <row r="209" spans="1:20" ht="38.25" customHeight="1" x14ac:dyDescent="0.45">
      <c r="A209" s="81">
        <v>6</v>
      </c>
      <c r="B209" s="112"/>
      <c r="C209" s="22"/>
      <c r="D209" s="24"/>
      <c r="E209" s="24"/>
      <c r="F209" s="118"/>
      <c r="G209" s="119"/>
      <c r="H209" s="21"/>
      <c r="I209" s="50"/>
      <c r="J209" s="100"/>
      <c r="K209" s="111"/>
      <c r="L209" s="101"/>
      <c r="M209" s="70"/>
      <c r="N209" s="102"/>
      <c r="O209" s="70"/>
      <c r="P209" s="70"/>
      <c r="Q209" s="70"/>
      <c r="R209" s="111"/>
      <c r="S209" s="50"/>
      <c r="T209" s="103"/>
    </row>
    <row r="210" spans="1:20" ht="38.25" customHeight="1" x14ac:dyDescent="0.45">
      <c r="A210" s="81">
        <v>7</v>
      </c>
      <c r="B210" s="112"/>
      <c r="C210" s="22"/>
      <c r="D210" s="24"/>
      <c r="E210" s="24"/>
      <c r="F210" s="118"/>
      <c r="G210" s="119"/>
      <c r="H210" s="21"/>
      <c r="I210" s="50"/>
      <c r="J210" s="100"/>
      <c r="K210" s="111"/>
      <c r="L210" s="101"/>
      <c r="M210" s="70"/>
      <c r="N210" s="102"/>
      <c r="O210" s="70"/>
      <c r="P210" s="70"/>
      <c r="Q210" s="70"/>
      <c r="R210" s="111"/>
      <c r="S210" s="50"/>
      <c r="T210" s="103"/>
    </row>
    <row r="211" spans="1:20" x14ac:dyDescent="0.45">
      <c r="A211" s="81">
        <v>8</v>
      </c>
      <c r="B211" s="112"/>
      <c r="C211" s="22"/>
      <c r="D211" s="24"/>
      <c r="E211" s="24"/>
      <c r="F211" s="118"/>
      <c r="G211" s="119"/>
      <c r="H211" s="21"/>
      <c r="I211" s="50"/>
      <c r="J211" s="100"/>
      <c r="K211" s="111"/>
      <c r="L211" s="101"/>
      <c r="M211" s="70"/>
      <c r="N211" s="102"/>
      <c r="O211" s="70"/>
      <c r="P211" s="70"/>
      <c r="Q211" s="70"/>
      <c r="R211" s="111"/>
      <c r="S211" s="50"/>
      <c r="T211" s="103"/>
    </row>
    <row r="212" spans="1:20" x14ac:dyDescent="0.45">
      <c r="A212" s="81">
        <v>10</v>
      </c>
      <c r="B212" s="112"/>
      <c r="C212" s="22"/>
      <c r="D212" s="24"/>
      <c r="E212" s="24"/>
      <c r="F212" s="118"/>
      <c r="G212" s="119"/>
      <c r="H212" s="21"/>
      <c r="I212" s="50"/>
      <c r="J212" s="100"/>
      <c r="K212" s="111"/>
      <c r="L212" s="101"/>
      <c r="M212" s="70"/>
      <c r="N212" s="102"/>
      <c r="O212" s="70"/>
      <c r="P212" s="70"/>
      <c r="Q212" s="70"/>
      <c r="R212" s="111"/>
      <c r="S212" s="50"/>
      <c r="T212" s="103"/>
    </row>
    <row r="213" spans="1:20" x14ac:dyDescent="0.45">
      <c r="A213" s="81">
        <v>11</v>
      </c>
      <c r="B213" s="112"/>
      <c r="C213" s="22"/>
      <c r="D213" s="24"/>
      <c r="E213" s="24"/>
      <c r="F213" s="118"/>
      <c r="G213" s="119"/>
      <c r="H213" s="21"/>
      <c r="I213" s="50"/>
      <c r="J213" s="100"/>
      <c r="K213" s="111"/>
      <c r="L213" s="101"/>
      <c r="M213" s="70"/>
      <c r="N213" s="102"/>
      <c r="O213" s="70"/>
      <c r="P213" s="70"/>
      <c r="Q213" s="70"/>
      <c r="R213" s="111"/>
      <c r="S213" s="50"/>
      <c r="T213" s="103"/>
    </row>
    <row r="214" spans="1:20" x14ac:dyDescent="0.45">
      <c r="A214" s="81">
        <v>12</v>
      </c>
      <c r="B214" s="112"/>
      <c r="C214" s="22"/>
      <c r="D214" s="24"/>
      <c r="E214" s="24"/>
      <c r="F214" s="118"/>
      <c r="G214" s="119"/>
      <c r="H214" s="21"/>
      <c r="I214" s="50"/>
      <c r="J214" s="100"/>
      <c r="K214" s="111"/>
      <c r="L214" s="101"/>
      <c r="M214" s="70"/>
      <c r="N214" s="102"/>
      <c r="O214" s="70"/>
      <c r="P214" s="70"/>
      <c r="Q214" s="70"/>
      <c r="R214" s="111"/>
      <c r="S214" s="50"/>
      <c r="T214" s="103"/>
    </row>
    <row r="215" spans="1:20" x14ac:dyDescent="0.45">
      <c r="A215" s="81">
        <v>13</v>
      </c>
      <c r="B215" s="112"/>
      <c r="C215" s="22"/>
      <c r="D215" s="24"/>
      <c r="E215" s="24"/>
      <c r="F215" s="118"/>
      <c r="G215" s="119"/>
      <c r="H215" s="21"/>
      <c r="I215" s="50"/>
      <c r="J215" s="100"/>
      <c r="K215" s="111"/>
      <c r="L215" s="101"/>
      <c r="M215" s="70"/>
      <c r="N215" s="102"/>
      <c r="O215" s="70"/>
      <c r="P215" s="70"/>
      <c r="Q215" s="70"/>
      <c r="R215" s="111"/>
      <c r="S215" s="50"/>
      <c r="T215" s="103"/>
    </row>
    <row r="216" spans="1:20" ht="15" customHeight="1" x14ac:dyDescent="0.45">
      <c r="A216" s="81"/>
      <c r="B216" s="112"/>
      <c r="C216" s="22"/>
      <c r="D216" s="24"/>
      <c r="E216" s="24"/>
      <c r="F216" s="118"/>
      <c r="G216" s="119"/>
      <c r="H216" s="21"/>
      <c r="I216" s="50"/>
      <c r="J216" s="100"/>
      <c r="K216" s="111"/>
      <c r="L216" s="101"/>
      <c r="M216" s="70"/>
      <c r="N216" s="102"/>
      <c r="O216" s="70"/>
      <c r="P216" s="70"/>
      <c r="Q216" s="70"/>
      <c r="R216" s="111"/>
      <c r="S216" s="50"/>
      <c r="T216" s="103"/>
    </row>
    <row r="217" spans="1:20" x14ac:dyDescent="0.45">
      <c r="A217" s="33"/>
      <c r="B217" s="112"/>
      <c r="C217" s="22"/>
      <c r="D217" s="24"/>
      <c r="E217" s="24"/>
      <c r="F217" s="118"/>
      <c r="G217" s="24"/>
      <c r="H217" s="21"/>
      <c r="I217" s="50"/>
      <c r="J217" s="100"/>
      <c r="K217" s="117"/>
      <c r="L217" s="113"/>
      <c r="M217" s="70"/>
      <c r="N217" s="102"/>
      <c r="O217" s="70"/>
      <c r="P217" s="70"/>
      <c r="Q217" s="120"/>
      <c r="R217" s="121"/>
      <c r="S217" s="50"/>
      <c r="T217" s="103">
        <f>+R217*0.0833333333333333*4</f>
      </c>
    </row>
    <row r="218" spans="1:20" ht="39" customHeight="1" x14ac:dyDescent="0.45">
      <c r="A218" s="293" t="s">
        <v>57</v>
      </c>
      <c r="B218" s="293"/>
      <c r="C218" s="293"/>
      <c r="D218" s="293"/>
      <c r="E218" s="293"/>
      <c r="F218" s="293"/>
      <c r="G218" s="293"/>
      <c r="H218" s="6"/>
      <c r="I218" s="169"/>
      <c r="J218" s="169"/>
      <c r="K218" s="169"/>
      <c r="L218" s="27"/>
      <c r="M218" s="169"/>
      <c r="N218" s="34" t="e">
        <f>+K218/J218</f>
      </c>
      <c r="O218" s="169">
        <f>SUM(O204:O217)</f>
      </c>
      <c r="P218" s="169">
        <f>SUM(P204:P217)</f>
      </c>
      <c r="Q218" s="169">
        <f>SUM(Q204:Q217)</f>
      </c>
      <c r="R218" s="27">
        <v>0</v>
      </c>
      <c r="S218" s="169">
        <f>SUM(S204:S217)</f>
      </c>
      <c r="T218" s="34" t="e">
        <f>+Q218/P218</f>
      </c>
    </row>
  </sheetData>
  <mergeCells count="128">
    <mergeCell ref="A218:G218"/>
    <mergeCell ref="A197:G197"/>
    <mergeCell ref="O172:T172"/>
    <mergeCell ref="I173:J173"/>
    <mergeCell ref="K173:N173"/>
    <mergeCell ref="O173:P173"/>
    <mergeCell ref="Q173:T173"/>
    <mergeCell ref="A168:G168"/>
    <mergeCell ref="H170:I170"/>
    <mergeCell ref="A172:A174"/>
    <mergeCell ref="B172:B174"/>
    <mergeCell ref="C172:C174"/>
    <mergeCell ref="D172:D174"/>
    <mergeCell ref="E172:E174"/>
    <mergeCell ref="F172:F174"/>
    <mergeCell ref="G172:G174"/>
    <mergeCell ref="H172:H174"/>
    <mergeCell ref="I172:N172"/>
    <mergeCell ref="A201:A203"/>
    <mergeCell ref="I201:N201"/>
    <mergeCell ref="I202:J202"/>
    <mergeCell ref="K202:N202"/>
    <mergeCell ref="O201:T201"/>
    <mergeCell ref="O202:P202"/>
    <mergeCell ref="O149:T149"/>
    <mergeCell ref="I150:J150"/>
    <mergeCell ref="K150:N150"/>
    <mergeCell ref="O150:P150"/>
    <mergeCell ref="Q150:T150"/>
    <mergeCell ref="A144:G144"/>
    <mergeCell ref="H147:I147"/>
    <mergeCell ref="A149:A151"/>
    <mergeCell ref="B149:B151"/>
    <mergeCell ref="C149:C151"/>
    <mergeCell ref="D149:D151"/>
    <mergeCell ref="E149:E151"/>
    <mergeCell ref="F149:F151"/>
    <mergeCell ref="G149:G151"/>
    <mergeCell ref="H149:H151"/>
    <mergeCell ref="I149:N149"/>
    <mergeCell ref="O131:T131"/>
    <mergeCell ref="I132:J132"/>
    <mergeCell ref="K132:N132"/>
    <mergeCell ref="O132:P132"/>
    <mergeCell ref="Q132:T132"/>
    <mergeCell ref="A127:G127"/>
    <mergeCell ref="H129:I129"/>
    <mergeCell ref="A131:A133"/>
    <mergeCell ref="B131:B133"/>
    <mergeCell ref="C131:C133"/>
    <mergeCell ref="D131:D133"/>
    <mergeCell ref="E131:E133"/>
    <mergeCell ref="F131:F133"/>
    <mergeCell ref="G131:G133"/>
    <mergeCell ref="H131:H133"/>
    <mergeCell ref="I131:N131"/>
    <mergeCell ref="O113:T113"/>
    <mergeCell ref="I114:J114"/>
    <mergeCell ref="K114:N114"/>
    <mergeCell ref="O114:P114"/>
    <mergeCell ref="Q114:T114"/>
    <mergeCell ref="A108:G108"/>
    <mergeCell ref="H111:I111"/>
    <mergeCell ref="A113:A115"/>
    <mergeCell ref="B113:B115"/>
    <mergeCell ref="C113:C115"/>
    <mergeCell ref="D113:D115"/>
    <mergeCell ref="E113:E115"/>
    <mergeCell ref="F113:F115"/>
    <mergeCell ref="G113:G115"/>
    <mergeCell ref="H113:H115"/>
    <mergeCell ref="I113:N113"/>
    <mergeCell ref="O73:T73"/>
    <mergeCell ref="I74:J74"/>
    <mergeCell ref="K74:N74"/>
    <mergeCell ref="O74:P74"/>
    <mergeCell ref="Q74:T74"/>
    <mergeCell ref="A68:G68"/>
    <mergeCell ref="H71:I71"/>
    <mergeCell ref="A73:A75"/>
    <mergeCell ref="B73:B75"/>
    <mergeCell ref="C73:C75"/>
    <mergeCell ref="D73:D75"/>
    <mergeCell ref="E73:E75"/>
    <mergeCell ref="F73:F75"/>
    <mergeCell ref="G73:G75"/>
    <mergeCell ref="H73:H75"/>
    <mergeCell ref="I73:N73"/>
    <mergeCell ref="O50:T50"/>
    <mergeCell ref="I51:J51"/>
    <mergeCell ref="K51:N51"/>
    <mergeCell ref="O51:P51"/>
    <mergeCell ref="Q51:T51"/>
    <mergeCell ref="H48:I48"/>
    <mergeCell ref="A50:A52"/>
    <mergeCell ref="B50:B52"/>
    <mergeCell ref="C50:C52"/>
    <mergeCell ref="D50:D52"/>
    <mergeCell ref="E50:E52"/>
    <mergeCell ref="F50:F52"/>
    <mergeCell ref="G50:G52"/>
    <mergeCell ref="H50:H52"/>
    <mergeCell ref="I50:N50"/>
    <mergeCell ref="O13:T13"/>
    <mergeCell ref="I14:J14"/>
    <mergeCell ref="K14:N14"/>
    <mergeCell ref="O14:P14"/>
    <mergeCell ref="Q14:T14"/>
    <mergeCell ref="A46:G46"/>
    <mergeCell ref="H11:I11"/>
    <mergeCell ref="A13:A15"/>
    <mergeCell ref="B13:B15"/>
    <mergeCell ref="C13:C15"/>
    <mergeCell ref="D13:D15"/>
    <mergeCell ref="E13:E15"/>
    <mergeCell ref="F13:F15"/>
    <mergeCell ref="G13:G15"/>
    <mergeCell ref="H13:H15"/>
    <mergeCell ref="I13:N13"/>
    <mergeCell ref="Q202:T202"/>
    <mergeCell ref="H199:I199"/>
    <mergeCell ref="B201:B203"/>
    <mergeCell ref="C201:C203"/>
    <mergeCell ref="D201:D203"/>
    <mergeCell ref="E201:E203"/>
    <mergeCell ref="F201:F203"/>
    <mergeCell ref="G201:G203"/>
    <mergeCell ref="H201:H203"/>
  </mergeCells>
  <printOptions horizontalCentered="1"/>
  <pageMargins left="0.78740157480314965" right="0" top="0.39370078740157483" bottom="0.39370078740157483" header="0.31496062992125984" footer="0.31496062992125984"/>
  <pageSetup paperSize="9" scale="53" fitToHeight="35" orientation="landscape" r:id="rId1"/>
  <headerFooter>
    <oddFooter>&amp;R&amp;P/&amp;N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17"/>
  <sheetViews>
    <sheetView zoomScale="80" zoomScaleNormal="80" workbookViewId="0">
      <selection activeCell="A2" sqref="A2"/>
    </sheetView>
  </sheetViews>
  <sheetFormatPr baseColWidth="10" defaultColWidth="11.3984375" defaultRowHeight="14.25" x14ac:dyDescent="0.45"/>
  <cols>
    <col min="1" max="1" width="7.1328125" style="176" customWidth="1"/>
    <col min="2" max="2" width="19.73046875" style="176" customWidth="1"/>
    <col min="3" max="3" width="9" style="176" customWidth="1"/>
    <col min="4" max="4" width="12" style="176" customWidth="1"/>
    <col min="5" max="5" width="14.73046875" style="176" customWidth="1"/>
    <col min="6" max="6" width="16.3984375" style="176" customWidth="1"/>
    <col min="7" max="7" width="13.1328125" style="176" customWidth="1"/>
    <col min="8" max="8" width="48.59765625" style="176" customWidth="1"/>
    <col min="9" max="9" width="13" style="176" customWidth="1"/>
    <col min="10" max="11" width="14.73046875" style="176" bestFit="1" customWidth="1"/>
    <col min="12" max="12" width="13.1328125" style="176" bestFit="1" customWidth="1"/>
    <col min="13" max="13" width="13.265625" style="176" customWidth="1"/>
    <col min="14" max="14" width="11.3984375" style="176"/>
    <col min="15" max="15" width="13.1328125" style="176" bestFit="1" customWidth="1"/>
    <col min="16" max="17" width="11.3984375" style="176"/>
    <col min="18" max="18" width="13.59765625" style="176" customWidth="1"/>
    <col min="19" max="19" width="14.1328125" style="176" customWidth="1"/>
    <col min="20" max="20" width="23.265625" style="176" customWidth="1"/>
    <col min="21" max="16384" width="11.3984375" style="176"/>
  </cols>
  <sheetData>
    <row r="1" spans="1:20" ht="29.25" customHeight="1" x14ac:dyDescent="0.45">
      <c r="A1" s="183" t="s">
        <v>155</v>
      </c>
    </row>
    <row r="2" spans="1:20" ht="18" x14ac:dyDescent="0.45">
      <c r="A2" s="184"/>
      <c r="H2" s="303" t="inlineStr">
        <is>
          <t xml:space="preserve">CDI ${tax_office_name}</t>
        </is>
      </c>
      <c r="I2" s="303"/>
    </row>
    <row r="3" spans="1:20" ht="18" x14ac:dyDescent="0.45">
      <c r="A3" s="184"/>
      <c r="H3" s="304"/>
      <c r="I3" s="304"/>
      <c r="J3" s="304"/>
      <c r="K3" s="185"/>
      <c r="L3" s="185"/>
    </row>
    <row r="4" spans="1:20" ht="23.25" customHeight="1" x14ac:dyDescent="0.45">
      <c r="A4" s="265" t="s">
        <v>6</v>
      </c>
      <c r="B4" s="265" t="s">
        <v>40</v>
      </c>
      <c r="C4" s="287" t="s">
        <v>41</v>
      </c>
      <c r="D4" s="265" t="s">
        <v>42</v>
      </c>
      <c r="E4" s="265" t="s">
        <v>69</v>
      </c>
      <c r="F4" s="265" t="s">
        <v>43</v>
      </c>
      <c r="G4" s="265" t="s">
        <v>44</v>
      </c>
      <c r="H4" s="305" t="s">
        <v>58</v>
      </c>
      <c r="I4" s="300" t="s">
        <v>59</v>
      </c>
      <c r="J4" s="301"/>
      <c r="K4" s="301"/>
      <c r="L4" s="301"/>
      <c r="M4" s="301"/>
      <c r="N4" s="301"/>
      <c r="O4" s="301"/>
      <c r="P4" s="301"/>
      <c r="Q4" s="301"/>
      <c r="R4" s="301"/>
      <c r="S4" s="302"/>
      <c r="T4" s="287" t="s">
        <v>48</v>
      </c>
    </row>
    <row r="5" spans="1:20" ht="22.5" customHeight="1" x14ac:dyDescent="0.45">
      <c r="A5" s="265"/>
      <c r="B5" s="265"/>
      <c r="C5" s="289"/>
      <c r="D5" s="265"/>
      <c r="E5" s="265"/>
      <c r="F5" s="265"/>
      <c r="G5" s="265"/>
      <c r="H5" s="306"/>
      <c r="I5" s="67" t="s">
        <v>60</v>
      </c>
      <c r="J5" s="67" t="s">
        <v>61</v>
      </c>
      <c r="K5" s="67" t="s">
        <v>62</v>
      </c>
      <c r="L5" s="67" t="s">
        <v>63</v>
      </c>
      <c r="M5" s="67" t="s">
        <v>18</v>
      </c>
      <c r="N5" s="67" t="s">
        <v>64</v>
      </c>
      <c r="O5" s="67" t="s">
        <v>19</v>
      </c>
      <c r="P5" s="67" t="s">
        <v>65</v>
      </c>
      <c r="Q5" s="67" t="s">
        <v>66</v>
      </c>
      <c r="R5" s="67" t="s">
        <v>87</v>
      </c>
      <c r="S5" s="67" t="s">
        <v>68</v>
      </c>
      <c r="T5" s="289"/>
    </row>
    <row r="6" spans="1:20" ht="28.5" customHeight="1" x14ac:dyDescent="0.45">
      <c r="A6" s="133">
        <v>1</v>
      </c>
      <c r="B6" s="207" t="inlineStr">
        <is>
          <t xml:space="preserve">${member_name}</t>
        </is>
      </c>
      <c r="C6" s="212" t="inlineStr">
        <is>
          <t xml:space="preserve">${member_ncc}</t>
        </is>
      </c>
      <c r="D6" s="134" t="inlineStr">
        <is>
          <t xml:space="preserve">${member_activity}</t>
        </is>
      </c>
      <c r="E6" s="134" t="inlineStr">
        <is>
          <t xml:space="preserve">${member_address}</t>
        </is>
      </c>
      <c r="F6" s="135" t="inlineStr">
        <is>
          <t xml:space="preserve">${membership_number_date}</t>
        </is>
      </c>
      <c r="G6" s="136" t="inlineStr">
        <is>
          <t xml:space="preserve">${member_section_parcel}</t>
        </is>
      </c>
      <c r="H6" s="137" t="inlineStr">
        <is>
          <t xml:space="preserve">${member_turnover}</t>
        </is>
      </c>
      <c r="I6" s="56"/>
      <c r="J6" s="56"/>
      <c r="K6" s="56"/>
      <c r="L6" s="56"/>
      <c r="M6" s="56"/>
      <c r="N6" s="56"/>
      <c r="O6" s="56"/>
      <c r="P6" s="56"/>
      <c r="Q6" s="56"/>
      <c r="R6" s="56"/>
      <c r="S6" s="55"/>
      <c r="T6" s="186" t="inlineStr">
        <is>
          <t xml:space="preserve">${termination_date_reason}</t>
        </is>
      </c>
    </row>
    <row r="7" spans="1:20" ht="27.75" customHeight="1" x14ac:dyDescent="0.45">
      <c r="A7" s="138">
        <v>2</v>
      </c>
      <c r="B7" s="129"/>
      <c r="C7" s="132"/>
      <c r="D7" s="140"/>
      <c r="E7" s="23"/>
      <c r="F7" s="145"/>
      <c r="G7" s="142"/>
      <c r="H7" s="143"/>
      <c r="I7" s="56"/>
      <c r="J7" s="56"/>
      <c r="K7" s="56"/>
      <c r="L7" s="56"/>
      <c r="M7" s="56"/>
      <c r="N7" s="56"/>
      <c r="O7" s="56"/>
      <c r="P7" s="56"/>
      <c r="Q7" s="56"/>
      <c r="R7" s="56"/>
      <c r="S7" s="55"/>
      <c r="T7" s="186"/>
    </row>
    <row r="8" spans="1:20" ht="26.25" customHeight="1" x14ac:dyDescent="0.45">
      <c r="A8" s="133">
        <v>3</v>
      </c>
      <c r="B8" s="206"/>
      <c r="C8" s="211"/>
      <c r="D8" s="140"/>
      <c r="E8" s="66"/>
      <c r="F8" s="141"/>
      <c r="G8" s="142"/>
      <c r="H8" s="146"/>
      <c r="I8" s="56"/>
      <c r="J8" s="56"/>
      <c r="K8" s="56"/>
      <c r="L8" s="56"/>
      <c r="M8" s="56"/>
      <c r="N8" s="56"/>
      <c r="O8" s="56"/>
      <c r="P8" s="56"/>
      <c r="Q8" s="56"/>
      <c r="R8" s="56"/>
      <c r="S8" s="55"/>
      <c r="T8" s="186"/>
    </row>
    <row r="9" spans="1:20" ht="30.75" customHeight="1" x14ac:dyDescent="0.45">
      <c r="A9" s="133">
        <v>4</v>
      </c>
      <c r="B9" s="205"/>
      <c r="C9" s="210"/>
      <c r="D9" s="140"/>
      <c r="E9" s="66"/>
      <c r="F9" s="145"/>
      <c r="G9" s="144"/>
      <c r="H9" s="147"/>
      <c r="I9" s="56"/>
      <c r="J9" s="56"/>
      <c r="K9" s="56"/>
      <c r="L9" s="56"/>
      <c r="M9" s="146"/>
      <c r="N9" s="56"/>
      <c r="O9" s="56"/>
      <c r="P9" s="56"/>
      <c r="Q9" s="56"/>
      <c r="R9" s="56"/>
      <c r="S9" s="55"/>
      <c r="T9" s="186"/>
    </row>
    <row r="10" spans="1:20" ht="30" customHeight="1" x14ac:dyDescent="0.45">
      <c r="A10" s="138">
        <v>5</v>
      </c>
      <c r="B10" s="166"/>
      <c r="C10" s="210"/>
      <c r="D10" s="140"/>
      <c r="E10" s="54"/>
      <c r="F10" s="145"/>
      <c r="G10" s="128"/>
      <c r="H10" s="147"/>
      <c r="I10" s="56"/>
      <c r="J10" s="56"/>
      <c r="K10" s="56"/>
      <c r="L10" s="56"/>
      <c r="M10" s="146"/>
      <c r="N10" s="56"/>
      <c r="O10" s="56"/>
      <c r="P10" s="56"/>
      <c r="Q10" s="56"/>
      <c r="R10" s="56"/>
      <c r="S10" s="55"/>
      <c r="T10" s="186"/>
    </row>
    <row r="11" spans="1:20" ht="30" customHeight="1" x14ac:dyDescent="0.45">
      <c r="A11" s="133">
        <v>6</v>
      </c>
      <c r="B11" s="204"/>
      <c r="C11" s="209"/>
      <c r="D11" s="66"/>
      <c r="E11" s="54"/>
      <c r="F11" s="78"/>
      <c r="G11" s="66"/>
      <c r="H11" s="14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5"/>
      <c r="T11" s="186"/>
    </row>
    <row r="12" spans="1:20" ht="30" customHeight="1" x14ac:dyDescent="0.45">
      <c r="A12" s="133">
        <v>7</v>
      </c>
      <c r="B12" s="204"/>
      <c r="C12" s="208"/>
      <c r="D12" s="66"/>
      <c r="E12" s="54"/>
      <c r="F12" s="78"/>
      <c r="G12" s="66"/>
      <c r="H12" s="14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5"/>
      <c r="T12" s="186"/>
    </row>
    <row r="13" spans="1:20" ht="30" customHeight="1" x14ac:dyDescent="0.45">
      <c r="A13" s="133">
        <v>8</v>
      </c>
      <c r="B13" s="204"/>
      <c r="C13" s="79"/>
      <c r="D13" s="66"/>
      <c r="E13" s="54"/>
      <c r="F13" s="78"/>
      <c r="G13" s="66"/>
      <c r="H13" s="14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5"/>
      <c r="T13" s="186"/>
    </row>
    <row r="14" spans="1:20" ht="30" customHeight="1" x14ac:dyDescent="0.45">
      <c r="A14" s="133">
        <v>9</v>
      </c>
      <c r="B14" s="204"/>
      <c r="C14" s="79"/>
      <c r="D14" s="66"/>
      <c r="E14" s="54"/>
      <c r="F14" s="78"/>
      <c r="G14" s="66"/>
      <c r="H14" s="14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5"/>
      <c r="T14" s="186"/>
    </row>
    <row r="15" spans="1:20" ht="28.5" customHeight="1" x14ac:dyDescent="0.45">
      <c r="A15" s="133">
        <v>7</v>
      </c>
      <c r="B15" s="148"/>
      <c r="C15" s="53"/>
      <c r="D15" s="66"/>
      <c r="E15" s="54"/>
      <c r="F15" s="78"/>
      <c r="G15" s="124"/>
      <c r="H15" s="149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5"/>
      <c r="T15" s="186"/>
    </row>
    <row r="16" spans="1:20" ht="23.25" customHeight="1" x14ac:dyDescent="0.45">
      <c r="A16" s="138"/>
      <c r="B16" s="206"/>
      <c r="C16" s="139"/>
      <c r="D16" s="140"/>
      <c r="E16" s="54"/>
      <c r="F16" s="145"/>
      <c r="G16" s="140"/>
      <c r="H16" s="143"/>
      <c r="I16" s="56">
        <v>0</v>
      </c>
      <c r="J16" s="56"/>
      <c r="K16" s="56"/>
      <c r="L16" s="56"/>
      <c r="M16" s="56"/>
      <c r="N16" s="56"/>
      <c r="O16" s="56"/>
      <c r="P16" s="56"/>
      <c r="Q16" s="56"/>
      <c r="R16" s="56"/>
      <c r="S16" s="55"/>
      <c r="T16" s="186"/>
    </row>
    <row r="17" spans="1:20" ht="28.5" customHeight="1" x14ac:dyDescent="0.45">
      <c r="A17" s="297" t="s">
        <v>57</v>
      </c>
      <c r="B17" s="298"/>
      <c r="C17" s="298"/>
      <c r="D17" s="298"/>
      <c r="E17" s="298"/>
      <c r="F17" s="298"/>
      <c r="G17" s="298"/>
      <c r="H17" s="299"/>
      <c r="I17" s="35">
        <f t="shared" ref="I17:Q17" si="0">SUM(I6:I11)</f>
      </c>
      <c r="J17" s="35">
        <f t="shared" si="0"/>
      </c>
      <c r="K17" s="35">
        <f t="shared" si="0"/>
      </c>
      <c r="L17" s="35">
        <f t="shared" si="0"/>
      </c>
      <c r="M17" s="35">
        <f t="shared" si="0"/>
      </c>
      <c r="N17" s="35">
        <f t="shared" si="0"/>
      </c>
      <c r="O17" s="35">
        <f t="shared" si="0"/>
      </c>
      <c r="P17" s="35">
        <f t="shared" si="0"/>
      </c>
      <c r="Q17" s="35">
        <f t="shared" si="0"/>
      </c>
      <c r="R17" s="35">
        <f>SUM(R6:R15)</f>
      </c>
      <c r="S17" s="187">
        <f>+I17+J17+L17+M17+N17+O17+P17+Q17+R17</f>
      </c>
      <c r="T17" s="188"/>
    </row>
  </sheetData>
  <sortState xmlns:xlrd2="http://schemas.microsoft.com/office/spreadsheetml/2017/richdata2" ref="A102:U110">
    <sortCondition ref="B102:B110"/>
  </sortState>
  <mergeCells count="13">
    <mergeCell ref="A17:H17"/>
    <mergeCell ref="I4:S4"/>
    <mergeCell ref="T4:T5"/>
    <mergeCell ref="H2:I2"/>
    <mergeCell ref="H3:J3"/>
    <mergeCell ref="A4:A5"/>
    <mergeCell ref="B4:B5"/>
    <mergeCell ref="C4:C5"/>
    <mergeCell ref="D4:D5"/>
    <mergeCell ref="E4:E5"/>
    <mergeCell ref="F4:F5"/>
    <mergeCell ref="G4:G5"/>
    <mergeCell ref="H4:H5"/>
  </mergeCells>
  <printOptions horizontalCentered="1"/>
  <pageMargins left="0.19685039370078741" right="0.19685039370078741" top="0.39370078740157483" bottom="0.19685039370078741" header="0.31496062992125984" footer="0.31496062992125984"/>
  <pageSetup paperSize="9" scale="44" fitToHeight="6" orientation="landscape" r:id="rId1"/>
  <headerFooter>
    <oddFooter>&amp;R&amp;P/&amp;N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"/>
  <sheetViews>
    <sheetView zoomScaleSheetLayoutView="100" workbookViewId="0">
      <selection activeCell="A2" sqref="A2"/>
    </sheetView>
  </sheetViews>
  <sheetFormatPr baseColWidth="10" defaultColWidth="11.3984375" defaultRowHeight="14.25" x14ac:dyDescent="0.45"/>
  <cols>
    <col min="1" max="1" width="8.1328125" customWidth="1"/>
    <col min="2" max="2" width="20.59765625" customWidth="1"/>
    <col min="4" max="4" width="13.1328125" customWidth="1"/>
    <col min="5" max="5" width="14.1328125" customWidth="1"/>
    <col min="6" max="6" width="17.265625" customWidth="1"/>
    <col min="7" max="7" width="16.59765625" customWidth="1"/>
    <col min="8" max="8" width="38.59765625" customWidth="1"/>
    <col min="9" max="9" width="17.3984375" customWidth="1"/>
  </cols>
  <sheetData>
    <row r="1" spans="1:20" x14ac:dyDescent="0.45">
      <c r="A1" s="11" t="s">
        <v>156</v>
      </c>
    </row>
    <row r="2" spans="1:20" x14ac:dyDescent="0.45">
      <c r="A2" s="11"/>
    </row>
    <row r="3" spans="1:20" ht="18" x14ac:dyDescent="0.55000000000000004">
      <c r="A3" s="11"/>
      <c r="E3" s="286" t="inlineStr">
        <is>
          <t xml:space="preserve">CDI ${tax_office_name}</t>
        </is>
      </c>
      <c r="F3" s="286"/>
    </row>
    <row r="4" spans="1:20" x14ac:dyDescent="0.45">
      <c r="A4" s="4"/>
    </row>
    <row r="5" spans="1:20" ht="35.25" customHeight="1" x14ac:dyDescent="0.45">
      <c r="A5" s="67" t="s">
        <v>6</v>
      </c>
      <c r="B5" s="67" t="s">
        <v>40</v>
      </c>
      <c r="C5" s="67" t="s">
        <v>41</v>
      </c>
      <c r="D5" s="67" t="s">
        <v>42</v>
      </c>
      <c r="E5" s="80" t="s">
        <v>71</v>
      </c>
      <c r="F5" s="67" t="s">
        <v>70</v>
      </c>
      <c r="G5" s="67" t="s">
        <v>43</v>
      </c>
      <c r="H5" s="189" t="s">
        <v>45</v>
      </c>
      <c r="I5" s="182" t="s">
        <v>44</v>
      </c>
      <c r="J5" s="28"/>
      <c r="K5" s="28"/>
      <c r="L5" s="29"/>
    </row>
    <row r="6" spans="1:20" ht="20.25" customHeight="1" x14ac:dyDescent="0.45">
      <c r="A6" s="33">
        <v>1</v>
      </c>
      <c r="B6" s="125" t="inlineStr">
        <is>
          <t xml:space="preserve">${member_name}</t>
        </is>
      </c>
      <c r="C6" s="69" t="inlineStr">
        <is>
          <t xml:space="preserve">${member_ncc}</t>
        </is>
      </c>
      <c r="D6" s="122" t="inlineStr">
        <is>
          <t xml:space="preserve">${member_activity}</t>
        </is>
      </c>
      <c r="E6" s="124" t="inlineStr">
        <is>
          <t xml:space="preserve">${member_address}</t>
        </is>
      </c>
      <c r="F6" s="68" t="inlineStr">
        <is>
          <t xml:space="preserve">${registration_date}</t>
        </is>
      </c>
      <c r="G6" s="68" t="inlineStr">
        <is>
          <t xml:space="preserve">${membership_number_date}</t>
        </is>
      </c>
      <c r="H6" s="123" t="inlineStr">
        <is>
          <t xml:space="preserve">${member_turnover}</t>
        </is>
      </c>
      <c r="I6" s="122" t="inlineStr">
        <is>
          <t xml:space="preserve">${member_section_parcel}</t>
        </is>
      </c>
      <c r="J6" s="131"/>
      <c r="K6" s="153"/>
      <c r="L6" s="153"/>
      <c r="M6" s="154"/>
      <c r="N6" s="155"/>
      <c r="O6" s="154"/>
      <c r="P6" s="154"/>
      <c r="Q6" s="153"/>
      <c r="R6" s="153"/>
      <c r="S6" s="156"/>
      <c r="T6" s="157"/>
    </row>
    <row r="7" spans="1:20" ht="23.25" customHeight="1" x14ac:dyDescent="0.45">
      <c r="A7" s="33">
        <v>2</v>
      </c>
      <c r="B7" s="108"/>
      <c r="C7" s="69"/>
      <c r="D7" s="122"/>
      <c r="E7" s="124"/>
      <c r="F7" s="68"/>
      <c r="G7" s="68"/>
      <c r="H7" s="123"/>
      <c r="I7" s="122"/>
      <c r="J7" s="131"/>
      <c r="K7" s="153"/>
      <c r="L7" s="153"/>
      <c r="M7" s="154"/>
      <c r="N7" s="155"/>
      <c r="O7" s="154"/>
      <c r="P7" s="154"/>
      <c r="Q7" s="153"/>
      <c r="R7" s="153"/>
      <c r="S7" s="156"/>
      <c r="T7" s="157"/>
    </row>
    <row r="8" spans="1:20" ht="20.25" customHeight="1" x14ac:dyDescent="0.45">
      <c r="A8" s="33">
        <v>3</v>
      </c>
      <c r="B8" s="126"/>
      <c r="C8" s="39"/>
      <c r="D8" s="122"/>
      <c r="E8" s="124"/>
      <c r="F8" s="68"/>
      <c r="G8" s="68"/>
      <c r="H8" s="123"/>
      <c r="I8" s="122"/>
      <c r="J8" s="28"/>
      <c r="K8" s="28"/>
      <c r="L8" s="28"/>
    </row>
    <row r="9" spans="1:20" ht="23.25" customHeight="1" x14ac:dyDescent="0.45">
      <c r="A9" s="33">
        <v>4</v>
      </c>
      <c r="B9" s="130"/>
      <c r="C9" s="39"/>
      <c r="D9" s="23"/>
      <c r="E9" s="124"/>
      <c r="F9" s="150"/>
      <c r="G9" s="158"/>
      <c r="H9" s="123"/>
      <c r="I9" s="122"/>
      <c r="J9" s="28"/>
      <c r="K9" s="28"/>
      <c r="L9" s="28"/>
    </row>
    <row r="10" spans="1:20" ht="20.25" customHeight="1" x14ac:dyDescent="0.45">
      <c r="A10" s="307" t="s">
        <v>57</v>
      </c>
      <c r="B10" s="308"/>
      <c r="C10" s="308"/>
      <c r="D10" s="308"/>
      <c r="E10" s="308"/>
      <c r="F10" s="308"/>
      <c r="G10" s="309"/>
      <c r="H10" s="31"/>
      <c r="I10" s="32"/>
      <c r="J10" s="30"/>
      <c r="K10" s="30"/>
      <c r="L10" s="28"/>
    </row>
  </sheetData>
  <sortState xmlns:xlrd2="http://schemas.microsoft.com/office/spreadsheetml/2017/richdata2" ref="A85:AO97">
    <sortCondition ref="B85:B97"/>
  </sortState>
  <mergeCells count="2">
    <mergeCell ref="E3:F3"/>
    <mergeCell ref="A10:G10"/>
  </mergeCells>
  <printOptions horizontalCentered="1"/>
  <pageMargins left="0.19685039370078741" right="0.19685039370078741" top="0.39370078740157483" bottom="0.19685039370078741" header="0.31496062992125984" footer="0.31496062992125984"/>
  <pageSetup paperSize="9" orientation="landscape" r:id="rId1"/>
  <headerFooter>
    <oddFooter>&amp;R&amp;P/&amp;N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7"/>
  <sheetViews>
    <sheetView workbookViewId="0">
      <selection activeCell="A2" sqref="A2"/>
    </sheetView>
  </sheetViews>
  <sheetFormatPr baseColWidth="10" defaultColWidth="11.3984375" defaultRowHeight="14.25" x14ac:dyDescent="0.45"/>
  <cols>
    <col min="1" max="1" width="7.73046875" style="176" customWidth="1"/>
    <col min="2" max="2" width="22.73046875" style="176" customWidth="1"/>
    <col min="3" max="3" width="11.3984375" style="176"/>
    <col min="4" max="4" width="19.1328125" style="176" customWidth="1"/>
    <col min="5" max="5" width="14.1328125" style="176" customWidth="1"/>
    <col min="6" max="7" width="11.3984375" style="176"/>
    <col min="8" max="8" width="39.265625" style="176" customWidth="1"/>
    <col min="9" max="9" width="31.3984375" style="176" customWidth="1"/>
    <col min="10" max="16384" width="11.3984375" style="176"/>
  </cols>
  <sheetData>
    <row r="1" spans="1:9" ht="15.75" x14ac:dyDescent="0.45">
      <c r="A1" s="190" t="s">
        <v>157</v>
      </c>
    </row>
    <row r="2" spans="1:9" x14ac:dyDescent="0.45">
      <c r="A2" s="191"/>
    </row>
    <row r="3" spans="1:9" ht="18" x14ac:dyDescent="0.45">
      <c r="A3" s="191"/>
      <c r="E3" s="303" t="inlineStr">
        <is>
          <t xml:space="preserve">CDI ${tax_office_name}</t>
        </is>
      </c>
      <c r="F3" s="303"/>
    </row>
    <row r="5" spans="1:9" ht="40.5" customHeight="1" x14ac:dyDescent="0.45">
      <c r="A5" s="67" t="s">
        <v>6</v>
      </c>
      <c r="B5" s="67" t="s">
        <v>40</v>
      </c>
      <c r="C5" s="67" t="s">
        <v>41</v>
      </c>
      <c r="D5" s="67" t="s">
        <v>42</v>
      </c>
      <c r="E5" s="80" t="s">
        <v>71</v>
      </c>
      <c r="F5" s="67" t="s">
        <v>44</v>
      </c>
      <c r="G5" s="67" t="s">
        <v>43</v>
      </c>
      <c r="H5" s="192" t="s">
        <v>45</v>
      </c>
      <c r="I5" s="67" t="s">
        <v>70</v>
      </c>
    </row>
    <row r="6" spans="1:9" ht="22.5" customHeight="1" x14ac:dyDescent="0.45">
      <c r="A6" s="67"/>
      <c r="B6" s="80" t="inlineStr">
        <is>
          <t xml:space="preserve">${member_name}</t>
        </is>
      </c>
      <c r="C6" s="80" t="inlineStr">
        <is>
          <t xml:space="preserve">${member_ncc}</t>
        </is>
      </c>
      <c r="D6" s="80" t="inlineStr">
        <is>
          <t xml:space="preserve">${member_activity}</t>
        </is>
      </c>
      <c r="E6" s="80" t="inlineStr">
        <is>
          <t xml:space="preserve">${member_address}</t>
        </is>
      </c>
      <c r="F6" s="80" t="inlineStr">
        <is>
          <t xml:space="preserve">${member_section_parcel}</t>
        </is>
      </c>
      <c r="G6" s="80" t="inlineStr">
        <is>
          <t xml:space="preserve">${membership_number_date}</t>
        </is>
      </c>
      <c r="H6" s="193" t="inlineStr">
        <is>
          <t xml:space="preserve">${member_turnover}</t>
        </is>
      </c>
      <c r="I6" s="67" t="inlineStr">
        <is>
          <t xml:space="preserve">${registration_date}</t>
        </is>
      </c>
    </row>
    <row r="7" spans="1:9" ht="21" customHeight="1" x14ac:dyDescent="0.45">
      <c r="A7" s="310" t="s">
        <v>57</v>
      </c>
      <c r="B7" s="311"/>
      <c r="C7" s="311"/>
      <c r="D7" s="311"/>
      <c r="E7" s="311"/>
      <c r="F7" s="311"/>
      <c r="G7" s="312"/>
      <c r="H7" s="188"/>
      <c r="I7" s="194"/>
    </row>
    <row r="13" spans="1:9" ht="18" x14ac:dyDescent="0.45">
      <c r="A13" s="191"/>
      <c r="E13" s="303" t="inlineStr">
        <is>
          <t xml:space="preserve">CDI ${tax_office_name}</t>
        </is>
      </c>
      <c r="F13" s="303"/>
    </row>
    <row r="15" spans="1:9" ht="36.75" customHeight="1" x14ac:dyDescent="0.45">
      <c r="A15" s="67" t="s">
        <v>6</v>
      </c>
      <c r="B15" s="67" t="s">
        <v>40</v>
      </c>
      <c r="C15" s="67" t="s">
        <v>41</v>
      </c>
      <c r="D15" s="67" t="s">
        <v>42</v>
      </c>
      <c r="E15" s="80" t="s">
        <v>71</v>
      </c>
      <c r="F15" s="67" t="s">
        <v>44</v>
      </c>
      <c r="G15" s="67" t="s">
        <v>43</v>
      </c>
      <c r="H15" s="189" t="s">
        <v>45</v>
      </c>
      <c r="I15" s="67" t="s">
        <v>70</v>
      </c>
    </row>
    <row r="16" spans="1:9" ht="26.25" customHeight="1" x14ac:dyDescent="0.45">
      <c r="A16" s="33"/>
      <c r="B16" s="57" t="inlineStr">
        <is>
          <t xml:space="preserve">${member_name}</t>
        </is>
      </c>
      <c r="C16" s="57" t="inlineStr">
        <is>
          <t xml:space="preserve">${member_ncc}</t>
        </is>
      </c>
      <c r="D16" s="57" t="inlineStr">
        <is>
          <t xml:space="preserve">${member_activity}</t>
        </is>
      </c>
      <c r="E16" s="57" t="inlineStr">
        <is>
          <t xml:space="preserve">${member_address}</t>
        </is>
      </c>
      <c r="F16" s="57" t="inlineStr">
        <is>
          <t xml:space="preserve">${member_section_parcel}</t>
        </is>
      </c>
      <c r="G16" s="58" t="inlineStr">
        <is>
          <t xml:space="preserve">${membership_number_date}</t>
        </is>
      </c>
      <c r="H16" s="59" t="inlineStr">
        <is>
          <t xml:space="preserve">${member_turnover}</t>
        </is>
      </c>
      <c r="I16" s="60" t="inlineStr">
        <is>
          <t xml:space="preserve">${registration_date}</t>
        </is>
      </c>
    </row>
    <row r="17" spans="1:9" ht="26.25" customHeight="1" x14ac:dyDescent="0.45">
      <c r="A17" s="310" t="s">
        <v>57</v>
      </c>
      <c r="B17" s="311"/>
      <c r="C17" s="311"/>
      <c r="D17" s="311"/>
      <c r="E17" s="311"/>
      <c r="F17" s="311"/>
      <c r="G17" s="312"/>
      <c r="H17" s="61">
        <f>SUM(H16:H16)</f>
      </c>
      <c r="I17" s="194"/>
    </row>
  </sheetData>
  <mergeCells count="4">
    <mergeCell ref="E3:F3"/>
    <mergeCell ref="A7:G7"/>
    <mergeCell ref="E13:F13"/>
    <mergeCell ref="A17:G17"/>
  </mergeCells>
  <printOptions horizontalCentered="1"/>
  <pageMargins left="0.19685039370078741" right="0.19685039370078741" top="0.39370078740157483" bottom="0.19685039370078741" header="0.31496062992125984" footer="0.31496062992125984"/>
  <pageSetup paperSize="9" orientation="landscape" r:id="rId1"/>
  <headerFooter>
    <oddFooter>&amp;R&amp;P/&amp;N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17"/>
  <sheetViews>
    <sheetView workbookViewId="0">
      <selection activeCell="H2" sqref="H2:I2"/>
    </sheetView>
  </sheetViews>
  <sheetFormatPr baseColWidth="10" defaultRowHeight="14.25" x14ac:dyDescent="0.45"/>
  <cols>
    <col min="1" max="1" width="6.265625" customWidth="1"/>
    <col min="2" max="2" width="21" customWidth="1"/>
    <col min="3" max="3" width="8.86328125" customWidth="1"/>
    <col min="4" max="4" width="10" customWidth="1"/>
    <col min="5" max="5" width="12.3984375" customWidth="1"/>
    <col min="8" max="8" width="11.265625" customWidth="1"/>
    <col min="9" max="9" width="9.1328125" customWidth="1"/>
    <col min="10" max="10" width="9.265625" customWidth="1"/>
    <col min="11" max="11" width="9.3984375" customWidth="1"/>
    <col min="12" max="12" width="9.86328125" customWidth="1"/>
    <col min="13" max="13" width="9.265625" customWidth="1"/>
    <col min="14" max="14" width="17.265625" customWidth="1"/>
    <col min="15" max="15" width="18.265625" customWidth="1"/>
  </cols>
  <sheetData>
    <row r="1" spans="1:15" ht="15.75" x14ac:dyDescent="0.5">
      <c r="A1" s="25" t="s">
        <v>158</v>
      </c>
    </row>
    <row r="2" spans="1:15" ht="18" x14ac:dyDescent="0.55000000000000004">
      <c r="H2" s="286" t="inlineStr">
        <is>
          <t xml:space="preserve">CDI ${tax_office_name}</t>
        </is>
      </c>
      <c r="I2" s="286"/>
    </row>
    <row r="3" spans="1:15" ht="18" x14ac:dyDescent="0.55000000000000004">
      <c r="H3" s="20"/>
      <c r="I3" s="20"/>
    </row>
    <row r="4" spans="1:15" ht="27" customHeight="1" x14ac:dyDescent="0.45">
      <c r="A4" s="265" t="s">
        <v>6</v>
      </c>
      <c r="B4" s="287" t="s">
        <v>40</v>
      </c>
      <c r="C4" s="265" t="s">
        <v>41</v>
      </c>
      <c r="D4" s="265" t="s">
        <v>42</v>
      </c>
      <c r="E4" s="287" t="s">
        <v>71</v>
      </c>
      <c r="F4" s="287" t="s">
        <v>43</v>
      </c>
      <c r="G4" s="287" t="s">
        <v>44</v>
      </c>
      <c r="H4" s="265" t="s">
        <v>72</v>
      </c>
      <c r="I4" s="265"/>
      <c r="J4" s="265"/>
      <c r="K4" s="290" t="s">
        <v>73</v>
      </c>
      <c r="L4" s="291"/>
      <c r="M4" s="292"/>
      <c r="N4" s="265" t="s">
        <v>74</v>
      </c>
      <c r="O4" s="265" t="s">
        <v>75</v>
      </c>
    </row>
    <row r="5" spans="1:15" ht="15.75" customHeight="1" x14ac:dyDescent="0.45">
      <c r="A5" s="265"/>
      <c r="B5" s="288"/>
      <c r="C5" s="265"/>
      <c r="D5" s="265"/>
      <c r="E5" s="289"/>
      <c r="F5" s="288"/>
      <c r="G5" s="289"/>
      <c r="H5" s="195" t="s">
        <v>76</v>
      </c>
      <c r="I5" s="195" t="s">
        <v>77</v>
      </c>
      <c r="J5" s="195" t="s">
        <v>78</v>
      </c>
      <c r="K5" s="67" t="s">
        <v>76</v>
      </c>
      <c r="L5" s="80" t="s">
        <v>77</v>
      </c>
      <c r="M5" s="67" t="s">
        <v>78</v>
      </c>
      <c r="N5" s="265"/>
      <c r="O5" s="265"/>
    </row>
    <row r="6" spans="1:15" ht="22.5" customHeight="1" x14ac:dyDescent="0.45">
      <c r="A6" s="197"/>
      <c r="B6" s="197"/>
      <c r="C6" s="197"/>
      <c r="D6" s="197"/>
      <c r="E6" s="197"/>
      <c r="F6" s="197"/>
      <c r="G6" s="197"/>
      <c r="H6" s="197"/>
      <c r="I6" s="197"/>
      <c r="J6" s="197"/>
      <c r="K6" s="197"/>
      <c r="L6" s="197"/>
      <c r="M6" s="197"/>
      <c r="N6" s="197"/>
      <c r="O6" s="197"/>
    </row>
    <row r="7" spans="1:15" ht="20.25" customHeight="1" x14ac:dyDescent="0.45">
      <c r="A7" s="313" t="s">
        <v>57</v>
      </c>
      <c r="B7" s="313"/>
      <c r="C7" s="313"/>
      <c r="D7" s="313"/>
      <c r="E7" s="313"/>
      <c r="F7" s="313"/>
      <c r="G7" s="313"/>
      <c r="H7" s="198"/>
      <c r="I7" s="198"/>
      <c r="J7" s="198"/>
      <c r="K7" s="198"/>
      <c r="L7" s="198"/>
      <c r="M7" s="199"/>
      <c r="N7" s="198"/>
      <c r="O7" s="198"/>
    </row>
    <row r="12" spans="1:15" ht="18" x14ac:dyDescent="0.55000000000000004">
      <c r="H12" s="286" t="inlineStr">
        <is>
          <t xml:space="preserve">CDI ${tax_office_name}</t>
        </is>
      </c>
      <c r="I12" s="286"/>
    </row>
    <row r="13" spans="1:15" ht="18" x14ac:dyDescent="0.55000000000000004">
      <c r="H13" s="20"/>
      <c r="I13" s="20"/>
    </row>
    <row r="14" spans="1:15" ht="26.25" customHeight="1" x14ac:dyDescent="0.45">
      <c r="A14" s="265" t="s">
        <v>6</v>
      </c>
      <c r="B14" s="287" t="s">
        <v>40</v>
      </c>
      <c r="C14" s="265" t="s">
        <v>41</v>
      </c>
      <c r="D14" s="265" t="s">
        <v>42</v>
      </c>
      <c r="E14" s="287" t="s">
        <v>71</v>
      </c>
      <c r="F14" s="287" t="s">
        <v>43</v>
      </c>
      <c r="G14" s="287" t="s">
        <v>44</v>
      </c>
      <c r="H14" s="265" t="s">
        <v>72</v>
      </c>
      <c r="I14" s="265"/>
      <c r="J14" s="265"/>
      <c r="K14" s="290" t="s">
        <v>73</v>
      </c>
      <c r="L14" s="291"/>
      <c r="M14" s="292"/>
      <c r="N14" s="265" t="s">
        <v>74</v>
      </c>
      <c r="O14" s="265" t="s">
        <v>75</v>
      </c>
    </row>
    <row r="15" spans="1:15" ht="15.75" customHeight="1" x14ac:dyDescent="0.45">
      <c r="A15" s="265"/>
      <c r="B15" s="288"/>
      <c r="C15" s="265"/>
      <c r="D15" s="265"/>
      <c r="E15" s="289"/>
      <c r="F15" s="288"/>
      <c r="G15" s="289"/>
      <c r="H15" s="195" t="s">
        <v>76</v>
      </c>
      <c r="I15" s="195" t="s">
        <v>77</v>
      </c>
      <c r="J15" s="195" t="s">
        <v>78</v>
      </c>
      <c r="K15" s="67" t="s">
        <v>76</v>
      </c>
      <c r="L15" s="196" t="s">
        <v>77</v>
      </c>
      <c r="M15" s="67" t="s">
        <v>78</v>
      </c>
      <c r="N15" s="265"/>
      <c r="O15" s="265"/>
    </row>
    <row r="16" spans="1:15" ht="23.25" customHeight="1" x14ac:dyDescent="0.45">
      <c r="A16" s="197"/>
      <c r="B16" s="197"/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</row>
    <row r="17" spans="1:15" ht="19.5" customHeight="1" x14ac:dyDescent="0.45">
      <c r="A17" s="293" t="s">
        <v>57</v>
      </c>
      <c r="B17" s="293"/>
      <c r="C17" s="293"/>
      <c r="D17" s="293"/>
      <c r="E17" s="293"/>
      <c r="F17" s="293"/>
      <c r="G17" s="293"/>
      <c r="H17" s="6"/>
      <c r="I17" s="6"/>
      <c r="J17" s="6"/>
      <c r="K17" s="6"/>
      <c r="L17" s="6"/>
      <c r="M17" s="9"/>
      <c r="N17" s="6"/>
      <c r="O17" s="6"/>
    </row>
  </sheetData>
  <mergeCells count="26">
    <mergeCell ref="H2:I2"/>
    <mergeCell ref="G4:G5"/>
    <mergeCell ref="H4:J4"/>
    <mergeCell ref="K4:M4"/>
    <mergeCell ref="N4:N5"/>
    <mergeCell ref="O4:O5"/>
    <mergeCell ref="A7:G7"/>
    <mergeCell ref="A4:A5"/>
    <mergeCell ref="B4:B5"/>
    <mergeCell ref="C4:C5"/>
    <mergeCell ref="D4:D5"/>
    <mergeCell ref="E4:E5"/>
    <mergeCell ref="F4:F5"/>
    <mergeCell ref="K14:M14"/>
    <mergeCell ref="N14:N15"/>
    <mergeCell ref="O14:O15"/>
    <mergeCell ref="A17:G17"/>
    <mergeCell ref="H12:I12"/>
    <mergeCell ref="A14:A15"/>
    <mergeCell ref="B14:B15"/>
    <mergeCell ref="C14:C15"/>
    <mergeCell ref="D14:D15"/>
    <mergeCell ref="E14:E15"/>
    <mergeCell ref="F14:F15"/>
    <mergeCell ref="G14:G15"/>
    <mergeCell ref="H14:J14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72" fitToHeight="2" orientation="landscape" r:id="rId1"/>
  <headerFooter>
    <oddFooter>&amp;R&amp;P/&amp;N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19"/>
  <sheetViews>
    <sheetView workbookViewId="0">
      <selection activeCell="A2" sqref="A2"/>
    </sheetView>
  </sheetViews>
  <sheetFormatPr baseColWidth="10" defaultRowHeight="14.25" x14ac:dyDescent="0.45"/>
  <cols>
    <col min="1" max="1" width="7.59765625" customWidth="1"/>
    <col min="2" max="2" width="19.1328125" customWidth="1"/>
    <col min="3" max="3" width="9.1328125" customWidth="1"/>
    <col min="4" max="4" width="8.86328125" customWidth="1"/>
    <col min="5" max="5" width="14" customWidth="1"/>
    <col min="11" max="11" width="22.86328125" customWidth="1"/>
  </cols>
  <sheetData>
    <row r="1" spans="1:11" ht="15.75" x14ac:dyDescent="0.5">
      <c r="A1" s="25" t="s">
        <v>159</v>
      </c>
    </row>
    <row r="2" spans="1:11" ht="15.75" x14ac:dyDescent="0.5">
      <c r="A2" s="25"/>
    </row>
    <row r="3" spans="1:11" ht="15.75" x14ac:dyDescent="0.5">
      <c r="A3" s="25"/>
    </row>
    <row r="4" spans="1:11" ht="18" x14ac:dyDescent="0.55000000000000004">
      <c r="A4" s="11"/>
      <c r="F4" s="286" t="inlineStr">
        <is>
          <t xml:space="preserve">CDI ${tax_office_name}</t>
        </is>
      </c>
      <c r="G4" s="286"/>
    </row>
    <row r="6" spans="1:11" ht="21.75" customHeight="1" x14ac:dyDescent="0.45">
      <c r="A6" s="317" t="s">
        <v>6</v>
      </c>
      <c r="B6" s="314" t="s">
        <v>40</v>
      </c>
      <c r="C6" s="317" t="s">
        <v>41</v>
      </c>
      <c r="D6" s="317" t="s">
        <v>42</v>
      </c>
      <c r="E6" s="314" t="s">
        <v>71</v>
      </c>
      <c r="F6" s="314" t="s">
        <v>43</v>
      </c>
      <c r="G6" s="314" t="s">
        <v>44</v>
      </c>
      <c r="H6" s="317" t="s">
        <v>72</v>
      </c>
      <c r="I6" s="317"/>
      <c r="J6" s="317"/>
      <c r="K6" s="317" t="s">
        <v>75</v>
      </c>
    </row>
    <row r="7" spans="1:11" ht="14.25" customHeight="1" x14ac:dyDescent="0.45">
      <c r="A7" s="317"/>
      <c r="B7" s="315"/>
      <c r="C7" s="317"/>
      <c r="D7" s="317"/>
      <c r="E7" s="316"/>
      <c r="F7" s="315"/>
      <c r="G7" s="316"/>
      <c r="H7" s="52" t="s">
        <v>76</v>
      </c>
      <c r="I7" s="52" t="s">
        <v>77</v>
      </c>
      <c r="J7" s="52" t="s">
        <v>78</v>
      </c>
      <c r="K7" s="317"/>
    </row>
    <row r="8" spans="1:11" ht="15" customHeight="1" x14ac:dyDescent="0.45">
      <c r="A8" s="5"/>
      <c r="B8" s="5"/>
      <c r="C8" s="5"/>
      <c r="D8" s="5"/>
      <c r="E8" s="5"/>
      <c r="F8" s="5"/>
      <c r="G8" s="5"/>
      <c r="H8" s="5"/>
      <c r="I8" s="5"/>
      <c r="J8" s="5"/>
      <c r="K8" s="13"/>
    </row>
    <row r="9" spans="1:11" ht="20.25" customHeight="1" x14ac:dyDescent="0.45">
      <c r="A9" s="293" t="s">
        <v>57</v>
      </c>
      <c r="B9" s="293"/>
      <c r="C9" s="293"/>
      <c r="D9" s="293"/>
      <c r="E9" s="293"/>
      <c r="F9" s="293"/>
      <c r="G9" s="293"/>
      <c r="H9" s="6"/>
      <c r="I9" s="6"/>
      <c r="J9" s="6"/>
      <c r="K9" s="12"/>
    </row>
    <row r="14" spans="1:11" ht="18" x14ac:dyDescent="0.55000000000000004">
      <c r="A14" s="11"/>
      <c r="F14" s="286" t="inlineStr">
        <is>
          <t xml:space="preserve">CDI ${tax_office_name}</t>
        </is>
      </c>
      <c r="G14" s="286"/>
    </row>
    <row r="16" spans="1:11" ht="19.5" customHeight="1" x14ac:dyDescent="0.45">
      <c r="A16" s="317" t="s">
        <v>6</v>
      </c>
      <c r="B16" s="287" t="s">
        <v>40</v>
      </c>
      <c r="C16" s="265" t="s">
        <v>41</v>
      </c>
      <c r="D16" s="265" t="s">
        <v>42</v>
      </c>
      <c r="E16" s="287" t="s">
        <v>71</v>
      </c>
      <c r="F16" s="314" t="s">
        <v>43</v>
      </c>
      <c r="G16" s="314" t="s">
        <v>44</v>
      </c>
      <c r="H16" s="265" t="s">
        <v>72</v>
      </c>
      <c r="I16" s="265"/>
      <c r="J16" s="265"/>
      <c r="K16" s="265" t="s">
        <v>75</v>
      </c>
    </row>
    <row r="17" spans="1:11" ht="13.5" customHeight="1" x14ac:dyDescent="0.45">
      <c r="A17" s="317"/>
      <c r="B17" s="289"/>
      <c r="C17" s="265"/>
      <c r="D17" s="265"/>
      <c r="E17" s="289"/>
      <c r="F17" s="315"/>
      <c r="G17" s="316"/>
      <c r="H17" s="67" t="s">
        <v>76</v>
      </c>
      <c r="I17" s="67" t="s">
        <v>77</v>
      </c>
      <c r="J17" s="67" t="s">
        <v>78</v>
      </c>
      <c r="K17" s="265"/>
    </row>
    <row r="18" spans="1:11" ht="18.75" customHeight="1" x14ac:dyDescent="0.45">
      <c r="A18" s="5"/>
      <c r="B18" s="5"/>
      <c r="C18" s="5"/>
      <c r="D18" s="5"/>
      <c r="E18" s="5"/>
      <c r="F18" s="5"/>
      <c r="G18" s="5"/>
      <c r="H18" s="5"/>
      <c r="I18" s="5"/>
      <c r="J18" s="5"/>
      <c r="K18" s="13"/>
    </row>
    <row r="19" spans="1:11" ht="23.25" customHeight="1" x14ac:dyDescent="0.45">
      <c r="A19" s="293" t="s">
        <v>57</v>
      </c>
      <c r="B19" s="293"/>
      <c r="C19" s="293"/>
      <c r="D19" s="293"/>
      <c r="E19" s="293"/>
      <c r="F19" s="293"/>
      <c r="G19" s="293"/>
      <c r="H19" s="6"/>
      <c r="I19" s="6"/>
      <c r="J19" s="6"/>
      <c r="K19" s="12"/>
    </row>
  </sheetData>
  <mergeCells count="22">
    <mergeCell ref="F4:G4"/>
    <mergeCell ref="G6:G7"/>
    <mergeCell ref="H6:J6"/>
    <mergeCell ref="K6:K7"/>
    <mergeCell ref="A9:G9"/>
    <mergeCell ref="A6:A7"/>
    <mergeCell ref="B6:B7"/>
    <mergeCell ref="C6:C7"/>
    <mergeCell ref="D6:D7"/>
    <mergeCell ref="E6:E7"/>
    <mergeCell ref="F6:F7"/>
    <mergeCell ref="A19:G19"/>
    <mergeCell ref="A16:A17"/>
    <mergeCell ref="B16:B17"/>
    <mergeCell ref="C16:C17"/>
    <mergeCell ref="D16:D17"/>
    <mergeCell ref="E16:E17"/>
    <mergeCell ref="F14:G14"/>
    <mergeCell ref="F16:F17"/>
    <mergeCell ref="G16:G17"/>
    <mergeCell ref="H16:J16"/>
    <mergeCell ref="K16:K17"/>
  </mergeCells>
  <printOptions horizontalCentered="1"/>
  <pageMargins left="0.19685039370078741" right="0" top="0.59055118110236227" bottom="0.59055118110236227" header="0.31496062992125984" footer="0.31496062992125984"/>
  <pageSetup paperSize="9" scale="71" fitToHeight="2" orientation="landscape" r:id="rId1"/>
  <headerFooter>
    <oddFooter>&amp;R&amp;P/&amp;N</oddFooter>
  </headerFooter>
  <colBreaks count="1" manualBreakCount="1">
    <brk id="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9"/>
  <sheetViews>
    <sheetView workbookViewId="0">
      <selection activeCell="U8" sqref="U8"/>
    </sheetView>
  </sheetViews>
  <sheetFormatPr baseColWidth="10" defaultRowHeight="14.25" x14ac:dyDescent="0.45"/>
  <cols>
    <col min="1" max="1" width="5.1328125" style="37" customWidth="1"/>
    <col min="2" max="2" width="21.3984375" customWidth="1"/>
    <col min="3" max="3" width="8.3984375" customWidth="1"/>
    <col min="4" max="4" width="14.1328125" customWidth="1"/>
    <col min="5" max="5" width="13.1328125" customWidth="1"/>
    <col min="8" max="8" width="30.59765625" customWidth="1"/>
    <col min="9" max="9" width="13.3984375" customWidth="1"/>
    <col min="10" max="10" width="13.73046875" customWidth="1"/>
    <col min="14" max="14" width="14.59765625" customWidth="1"/>
    <col min="20" max="20" width="15.73046875" customWidth="1"/>
    <col min="21" max="21" width="23.1328125" customWidth="1"/>
  </cols>
  <sheetData>
    <row r="1" spans="1:34" ht="15.75" x14ac:dyDescent="0.45">
      <c r="A1" s="38" t="s">
        <v>79</v>
      </c>
    </row>
    <row r="2" spans="1:34" ht="15.75" x14ac:dyDescent="0.45">
      <c r="A2" s="38" t="s">
        <v>160</v>
      </c>
    </row>
    <row r="3" spans="1:34" ht="18" x14ac:dyDescent="0.55000000000000004">
      <c r="A3" s="36"/>
      <c r="E3" s="286" t="inlineStr">
        <is>
          <t xml:space="preserve">CDI ${tax_office_name}</t>
        </is>
      </c>
      <c r="F3" s="286"/>
    </row>
    <row r="5" spans="1:34" ht="18" customHeight="1" x14ac:dyDescent="0.45">
      <c r="A5" s="287" t="s">
        <v>6</v>
      </c>
      <c r="B5" s="265" t="s">
        <v>40</v>
      </c>
      <c r="C5" s="265" t="s">
        <v>41</v>
      </c>
      <c r="D5" s="265" t="s">
        <v>42</v>
      </c>
      <c r="E5" s="287" t="s">
        <v>71</v>
      </c>
      <c r="F5" s="265" t="s">
        <v>44</v>
      </c>
      <c r="G5" s="265" t="s">
        <v>43</v>
      </c>
      <c r="H5" s="305" t="s">
        <v>58</v>
      </c>
      <c r="I5" s="265" t="s">
        <v>46</v>
      </c>
      <c r="J5" s="265"/>
      <c r="K5" s="265"/>
      <c r="L5" s="265"/>
      <c r="M5" s="265"/>
      <c r="N5" s="265"/>
      <c r="O5" s="265" t="s">
        <v>47</v>
      </c>
      <c r="P5" s="265"/>
      <c r="Q5" s="265"/>
      <c r="R5" s="265"/>
      <c r="S5" s="265"/>
      <c r="T5" s="265"/>
      <c r="U5" s="265" t="s">
        <v>48</v>
      </c>
    </row>
    <row r="6" spans="1:34" ht="15.75" customHeight="1" x14ac:dyDescent="0.45">
      <c r="A6" s="288"/>
      <c r="B6" s="265"/>
      <c r="C6" s="265"/>
      <c r="D6" s="265"/>
      <c r="E6" s="288"/>
      <c r="F6" s="265"/>
      <c r="G6" s="265"/>
      <c r="H6" s="318"/>
      <c r="I6" s="265" t="s">
        <v>49</v>
      </c>
      <c r="J6" s="265"/>
      <c r="K6" s="265" t="s">
        <v>50</v>
      </c>
      <c r="L6" s="265"/>
      <c r="M6" s="265"/>
      <c r="N6" s="265"/>
      <c r="O6" s="265" t="s">
        <v>49</v>
      </c>
      <c r="P6" s="265"/>
      <c r="Q6" s="265" t="s">
        <v>50</v>
      </c>
      <c r="R6" s="265"/>
      <c r="S6" s="265"/>
      <c r="T6" s="265"/>
      <c r="U6" s="265"/>
    </row>
    <row r="7" spans="1:34" ht="29.25" customHeight="1" x14ac:dyDescent="0.45">
      <c r="A7" s="289"/>
      <c r="B7" s="265"/>
      <c r="C7" s="265"/>
      <c r="D7" s="265"/>
      <c r="E7" s="289"/>
      <c r="F7" s="265"/>
      <c r="G7" s="265"/>
      <c r="H7" s="306"/>
      <c r="I7" s="200" t="s">
        <v>51</v>
      </c>
      <c r="J7" s="200" t="s">
        <v>52</v>
      </c>
      <c r="K7" s="200" t="s">
        <v>53</v>
      </c>
      <c r="L7" s="200" t="s">
        <v>54</v>
      </c>
      <c r="M7" s="200" t="s">
        <v>55</v>
      </c>
      <c r="N7" s="200" t="s">
        <v>56</v>
      </c>
      <c r="O7" s="200" t="s">
        <v>51</v>
      </c>
      <c r="P7" s="200" t="s">
        <v>52</v>
      </c>
      <c r="Q7" s="200" t="s">
        <v>53</v>
      </c>
      <c r="R7" s="200" t="s">
        <v>54</v>
      </c>
      <c r="S7" s="200" t="s">
        <v>55</v>
      </c>
      <c r="T7" s="200" t="s">
        <v>56</v>
      </c>
      <c r="U7" s="287"/>
    </row>
    <row r="8" spans="1:34" ht="33" customHeight="1" x14ac:dyDescent="0.45">
      <c r="A8" s="51"/>
      <c r="B8" s="63"/>
      <c r="C8" s="39"/>
      <c r="D8" s="42"/>
      <c r="E8" s="43"/>
      <c r="F8" s="41"/>
      <c r="G8" s="41"/>
      <c r="H8" s="44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6"/>
      <c r="U8" s="47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</row>
    <row r="9" spans="1:34" ht="50.1" customHeight="1" x14ac:dyDescent="0.45">
      <c r="A9" s="319" t="s">
        <v>57</v>
      </c>
      <c r="B9" s="319"/>
      <c r="C9" s="319"/>
      <c r="D9" s="319"/>
      <c r="E9" s="319"/>
      <c r="F9" s="319"/>
      <c r="G9" s="319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</sheetData>
  <sortState xmlns:xlrd2="http://schemas.microsoft.com/office/spreadsheetml/2017/richdata2" ref="B61:G63">
    <sortCondition ref="B61:B63"/>
  </sortState>
  <mergeCells count="17">
    <mergeCell ref="A9:G9"/>
    <mergeCell ref="E3:F3"/>
    <mergeCell ref="F5:F7"/>
    <mergeCell ref="A5:A7"/>
    <mergeCell ref="B5:B7"/>
    <mergeCell ref="C5:C7"/>
    <mergeCell ref="D5:D7"/>
    <mergeCell ref="E5:E7"/>
    <mergeCell ref="G5:G7"/>
    <mergeCell ref="H5:H7"/>
    <mergeCell ref="I5:N5"/>
    <mergeCell ref="O5:T5"/>
    <mergeCell ref="U5:U7"/>
    <mergeCell ref="I6:J6"/>
    <mergeCell ref="K6:N6"/>
    <mergeCell ref="O6:P6"/>
    <mergeCell ref="Q6:T6"/>
  </mergeCells>
  <printOptions horizontalCentered="1"/>
  <pageMargins left="0.19685039370078741" right="0.19685039370078741" top="0.39370078740157483" bottom="0.19685039370078741" header="0.31496062992125984" footer="0.31496062992125984"/>
  <pageSetup paperSize="9" scale="50" fitToHeight="2" orientation="landscape" r:id="rId1"/>
  <headerFooter>
    <oddFooter>&amp;R&amp;P/&amp;N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8"/>
  <sheetViews>
    <sheetView workbookViewId="0">
      <selection activeCell="A3" sqref="A3"/>
    </sheetView>
  </sheetViews>
  <sheetFormatPr baseColWidth="10" defaultRowHeight="14.25" x14ac:dyDescent="0.45"/>
  <cols>
    <col min="1" max="1" width="7.86328125" customWidth="1"/>
    <col min="2" max="2" width="23" customWidth="1"/>
    <col min="3" max="3" width="8.86328125" customWidth="1"/>
    <col min="4" max="4" width="12.59765625" customWidth="1"/>
    <col min="5" max="5" width="15.265625" customWidth="1"/>
    <col min="7" max="7" width="12.59765625" customWidth="1"/>
    <col min="8" max="8" width="18.3984375" bestFit="1" customWidth="1"/>
    <col min="10" max="10" width="11.59765625" bestFit="1" customWidth="1"/>
    <col min="11" max="11" width="17" bestFit="1" customWidth="1"/>
    <col min="12" max="13" width="13.73046875" bestFit="1" customWidth="1"/>
    <col min="14" max="17" width="11.59765625" bestFit="1" customWidth="1"/>
    <col min="18" max="19" width="13.73046875" bestFit="1" customWidth="1"/>
    <col min="20" max="20" width="17.86328125" customWidth="1"/>
  </cols>
  <sheetData>
    <row r="1" spans="1:20" ht="15.75" x14ac:dyDescent="0.5">
      <c r="A1" s="25" t="s">
        <v>79</v>
      </c>
    </row>
    <row r="2" spans="1:20" x14ac:dyDescent="0.45">
      <c r="A2" s="11" t="s">
        <v>161</v>
      </c>
    </row>
    <row r="3" spans="1:20" ht="18" x14ac:dyDescent="0.55000000000000004">
      <c r="A3" s="11"/>
      <c r="E3" s="286" t="inlineStr">
        <is>
          <t xml:space="preserve">CDI ${tax_office_name}</t>
        </is>
      </c>
      <c r="F3" s="286"/>
      <c r="G3" s="320" t="s">
        <v>114</v>
      </c>
      <c r="H3" s="321"/>
      <c r="I3" s="321"/>
    </row>
    <row r="5" spans="1:20" ht="25.5" customHeight="1" x14ac:dyDescent="0.45">
      <c r="A5" s="265" t="s">
        <v>6</v>
      </c>
      <c r="B5" s="265" t="s">
        <v>40</v>
      </c>
      <c r="C5" s="265" t="s">
        <v>41</v>
      </c>
      <c r="D5" s="322" t="s">
        <v>42</v>
      </c>
      <c r="E5" s="287" t="s">
        <v>71</v>
      </c>
      <c r="F5" s="287" t="s">
        <v>44</v>
      </c>
      <c r="G5" s="287" t="s">
        <v>43</v>
      </c>
      <c r="H5" s="265" t="s">
        <v>80</v>
      </c>
      <c r="I5" s="265" t="s">
        <v>81</v>
      </c>
      <c r="J5" s="265"/>
      <c r="K5" s="265"/>
      <c r="L5" s="265"/>
      <c r="M5" s="265"/>
      <c r="N5" s="265"/>
      <c r="O5" s="265"/>
      <c r="P5" s="265"/>
      <c r="Q5" s="265"/>
      <c r="R5" s="265"/>
      <c r="S5" s="290"/>
      <c r="T5" s="314" t="s">
        <v>48</v>
      </c>
    </row>
    <row r="6" spans="1:20" ht="18" customHeight="1" x14ac:dyDescent="0.45">
      <c r="A6" s="265"/>
      <c r="B6" s="265"/>
      <c r="C6" s="265"/>
      <c r="D6" s="323"/>
      <c r="E6" s="289"/>
      <c r="F6" s="289"/>
      <c r="G6" s="289"/>
      <c r="H6" s="265"/>
      <c r="I6" s="67" t="s">
        <v>60</v>
      </c>
      <c r="J6" s="67" t="s">
        <v>61</v>
      </c>
      <c r="K6" s="67" t="s">
        <v>62</v>
      </c>
      <c r="L6" s="67" t="s">
        <v>63</v>
      </c>
      <c r="M6" s="67" t="s">
        <v>18</v>
      </c>
      <c r="N6" s="67" t="s">
        <v>64</v>
      </c>
      <c r="O6" s="67" t="s">
        <v>19</v>
      </c>
      <c r="P6" s="67" t="s">
        <v>65</v>
      </c>
      <c r="Q6" s="67" t="s">
        <v>66</v>
      </c>
      <c r="R6" s="67" t="s">
        <v>67</v>
      </c>
      <c r="S6" s="80" t="s">
        <v>68</v>
      </c>
      <c r="T6" s="316"/>
    </row>
    <row r="7" spans="1:20" ht="27" customHeight="1" x14ac:dyDescent="0.45">
      <c r="A7" s="67"/>
      <c r="B7" s="64"/>
      <c r="C7" s="67"/>
      <c r="D7" s="201"/>
      <c r="E7" s="195"/>
      <c r="F7" s="195"/>
      <c r="G7" s="195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80"/>
      <c r="T7" s="48"/>
    </row>
    <row r="8" spans="1:20" ht="24" customHeight="1" x14ac:dyDescent="0.45">
      <c r="A8" s="310" t="s">
        <v>57</v>
      </c>
      <c r="B8" s="311"/>
      <c r="C8" s="311"/>
      <c r="D8" s="311"/>
      <c r="E8" s="311"/>
      <c r="F8" s="311"/>
      <c r="G8" s="311"/>
      <c r="H8" s="312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</sheetData>
  <sortState xmlns:xlrd2="http://schemas.microsoft.com/office/spreadsheetml/2017/richdata2" ref="B50:G52">
    <sortCondition ref="B50:B52"/>
  </sortState>
  <mergeCells count="13">
    <mergeCell ref="T5:T6"/>
    <mergeCell ref="G3:I3"/>
    <mergeCell ref="A8:H8"/>
    <mergeCell ref="E3:F3"/>
    <mergeCell ref="I5:S5"/>
    <mergeCell ref="A5:A6"/>
    <mergeCell ref="B5:B6"/>
    <mergeCell ref="C5:C6"/>
    <mergeCell ref="D5:D6"/>
    <mergeCell ref="E5:E6"/>
    <mergeCell ref="F5:F6"/>
    <mergeCell ref="G5:G6"/>
    <mergeCell ref="H5:H6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52" fitToHeight="3" orientation="landscape" r:id="rId1"/>
  <headerFooter>
    <oddFooter>&amp;R&amp;P/&amp;N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9"/>
  <sheetViews>
    <sheetView topLeftCell="A3" zoomScale="90" zoomScaleNormal="90" workbookViewId="0">
      <selection activeCell="A2" sqref="A2"/>
    </sheetView>
  </sheetViews>
  <sheetFormatPr baseColWidth="10" defaultRowHeight="14.25" x14ac:dyDescent="0.45"/>
  <cols>
    <col min="1" max="1" width="7.86328125" customWidth="1"/>
    <col min="2" max="2" width="23.73046875" customWidth="1"/>
    <col min="3" max="3" width="10.3984375" style="26" customWidth="1"/>
    <col min="4" max="4" width="11.1328125" customWidth="1"/>
    <col min="5" max="5" width="15.265625" customWidth="1"/>
    <col min="6" max="6" width="15.3984375" customWidth="1"/>
    <col min="7" max="7" width="13.86328125" customWidth="1"/>
    <col min="8" max="8" width="42" customWidth="1"/>
    <col min="9" max="9" width="14.73046875" customWidth="1"/>
    <col min="10" max="10" width="14" bestFit="1" customWidth="1"/>
    <col min="11" max="11" width="11.1328125" customWidth="1"/>
    <col min="12" max="12" width="15.59765625" customWidth="1"/>
    <col min="13" max="13" width="14" bestFit="1" customWidth="1"/>
    <col min="14" max="14" width="15" customWidth="1"/>
    <col min="15" max="15" width="15.3984375" customWidth="1"/>
    <col min="16" max="16" width="14" bestFit="1" customWidth="1"/>
    <col min="17" max="17" width="11.265625" customWidth="1"/>
    <col min="18" max="18" width="14.265625" customWidth="1"/>
    <col min="19" max="19" width="14" bestFit="1" customWidth="1"/>
    <col min="20" max="20" width="15.59765625" customWidth="1"/>
    <col min="21" max="21" width="20.59765625" customWidth="1"/>
  </cols>
  <sheetData>
    <row r="1" spans="1:21" ht="15.75" x14ac:dyDescent="0.5">
      <c r="A1" s="25" t="s">
        <v>162</v>
      </c>
    </row>
    <row r="2" spans="1:21" ht="18" x14ac:dyDescent="0.55000000000000004">
      <c r="A2" s="11"/>
      <c r="H2" s="203" t="inlineStr">
        <is>
          <t xml:space="preserve">CDI ${tax_office_name}</t>
        </is>
      </c>
      <c r="I2" s="20"/>
    </row>
    <row r="4" spans="1:21" ht="19.5" customHeight="1" x14ac:dyDescent="0.45">
      <c r="A4" s="280" t="s">
        <v>6</v>
      </c>
      <c r="B4" s="324" t="s">
        <v>40</v>
      </c>
      <c r="C4" s="324" t="s">
        <v>41</v>
      </c>
      <c r="D4" s="324" t="s">
        <v>42</v>
      </c>
      <c r="E4" s="324" t="s">
        <v>71</v>
      </c>
      <c r="F4" s="324" t="s">
        <v>83</v>
      </c>
      <c r="G4" s="325" t="s">
        <v>82</v>
      </c>
      <c r="H4" s="325" t="s">
        <v>58</v>
      </c>
      <c r="I4" s="324" t="s">
        <v>84</v>
      </c>
      <c r="J4" s="324"/>
      <c r="K4" s="324"/>
      <c r="L4" s="324"/>
      <c r="M4" s="324"/>
      <c r="N4" s="324"/>
      <c r="O4" s="324" t="s">
        <v>85</v>
      </c>
      <c r="P4" s="324"/>
      <c r="Q4" s="324"/>
      <c r="R4" s="324"/>
      <c r="S4" s="324"/>
      <c r="T4" s="324"/>
      <c r="U4" s="325" t="s">
        <v>48</v>
      </c>
    </row>
    <row r="5" spans="1:21" ht="21.75" customHeight="1" x14ac:dyDescent="0.45">
      <c r="A5" s="280"/>
      <c r="B5" s="324"/>
      <c r="C5" s="324"/>
      <c r="D5" s="324"/>
      <c r="E5" s="324"/>
      <c r="F5" s="324"/>
      <c r="G5" s="326"/>
      <c r="H5" s="326"/>
      <c r="I5" s="324" t="s">
        <v>49</v>
      </c>
      <c r="J5" s="324"/>
      <c r="K5" s="324" t="s">
        <v>50</v>
      </c>
      <c r="L5" s="324"/>
      <c r="M5" s="324"/>
      <c r="N5" s="324"/>
      <c r="O5" s="324" t="s">
        <v>49</v>
      </c>
      <c r="P5" s="324"/>
      <c r="Q5" s="300" t="s">
        <v>50</v>
      </c>
      <c r="R5" s="301"/>
      <c r="S5" s="301"/>
      <c r="T5" s="302"/>
      <c r="U5" s="326"/>
    </row>
    <row r="6" spans="1:21" ht="34.5" customHeight="1" x14ac:dyDescent="0.45">
      <c r="A6" s="280"/>
      <c r="B6" s="324"/>
      <c r="C6" s="324"/>
      <c r="D6" s="324"/>
      <c r="E6" s="324"/>
      <c r="F6" s="324"/>
      <c r="G6" s="327"/>
      <c r="H6" s="327"/>
      <c r="I6" s="202" t="s">
        <v>51</v>
      </c>
      <c r="J6" s="202" t="s">
        <v>52</v>
      </c>
      <c r="K6" s="202" t="s">
        <v>53</v>
      </c>
      <c r="L6" s="202" t="s">
        <v>54</v>
      </c>
      <c r="M6" s="202" t="s">
        <v>55</v>
      </c>
      <c r="N6" s="202" t="s">
        <v>56</v>
      </c>
      <c r="O6" s="202" t="s">
        <v>51</v>
      </c>
      <c r="P6" s="202" t="s">
        <v>52</v>
      </c>
      <c r="Q6" s="202" t="s">
        <v>53</v>
      </c>
      <c r="R6" s="202" t="s">
        <v>54</v>
      </c>
      <c r="S6" s="202" t="s">
        <v>55</v>
      </c>
      <c r="T6" s="202" t="s">
        <v>56</v>
      </c>
      <c r="U6" s="327"/>
    </row>
    <row r="7" spans="1:21" ht="28.5" customHeight="1" x14ac:dyDescent="0.45">
      <c r="A7" s="67">
        <v>1</v>
      </c>
      <c r="B7" s="159" t="inlineStr">
        <is>
          <t xml:space="preserve">${member_name}</t>
        </is>
      </c>
      <c r="C7" s="160" t="inlineStr">
        <is>
          <t xml:space="preserve">${member_ncc}</t>
        </is>
      </c>
      <c r="D7" s="134" t="inlineStr">
        <is>
          <t xml:space="preserve">${member_activity}</t>
        </is>
      </c>
      <c r="E7" s="161" t="inlineStr">
        <is>
          <t xml:space="preserve">${member_address}</t>
        </is>
      </c>
      <c r="F7" s="162" t="inlineStr">
        <is>
          <t xml:space="preserve">${member_section_parcel}</t>
        </is>
      </c>
      <c r="G7" s="161" t="inlineStr">
        <is>
          <t xml:space="preserve">${membership_number_date}</t>
        </is>
      </c>
      <c r="H7" s="163" t="inlineStr">
        <is>
          <t xml:space="preserve">${member_turnover}</t>
        </is>
      </c>
      <c r="I7" s="62"/>
      <c r="J7" s="50"/>
      <c r="K7" s="50"/>
      <c r="L7" s="49"/>
      <c r="M7" s="50"/>
      <c r="N7" s="164"/>
      <c r="O7" s="165"/>
      <c r="P7" s="49"/>
      <c r="Q7" s="49"/>
      <c r="R7" s="49"/>
      <c r="S7" s="50"/>
      <c r="T7" s="164"/>
      <c r="U7" s="51" t="inlineStr">
        <is>
          <t xml:space="preserve">${termination_date_reason}</t>
        </is>
      </c>
    </row>
    <row r="8" spans="1:21" ht="22.5" customHeight="1" x14ac:dyDescent="0.45">
      <c r="A8" s="67">
        <v>2</v>
      </c>
      <c r="B8" s="166"/>
      <c r="C8" s="132"/>
      <c r="D8" s="140"/>
      <c r="E8" s="127"/>
      <c r="F8" s="167"/>
      <c r="G8" s="127"/>
      <c r="H8" s="151"/>
      <c r="I8" s="168"/>
      <c r="J8" s="50"/>
      <c r="K8" s="41"/>
      <c r="L8" s="41"/>
      <c r="M8" s="50"/>
      <c r="N8" s="164"/>
      <c r="O8" s="65"/>
      <c r="P8" s="49"/>
      <c r="Q8" s="41"/>
      <c r="R8" s="41"/>
      <c r="S8" s="50"/>
      <c r="T8" s="164"/>
      <c r="U8" s="51"/>
    </row>
    <row r="9" spans="1:21" ht="22.5" customHeight="1" x14ac:dyDescent="0.45">
      <c r="A9" s="310" t="s">
        <v>57</v>
      </c>
      <c r="B9" s="311"/>
      <c r="C9" s="311"/>
      <c r="D9" s="311"/>
      <c r="E9" s="311"/>
      <c r="F9" s="311"/>
      <c r="G9" s="312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</sheetData>
  <sortState xmlns:xlrd2="http://schemas.microsoft.com/office/spreadsheetml/2017/richdata2" ref="A299:U348">
    <sortCondition ref="B299:B348"/>
  </sortState>
  <mergeCells count="16">
    <mergeCell ref="A9:G9"/>
    <mergeCell ref="F4:F6"/>
    <mergeCell ref="H4:H6"/>
    <mergeCell ref="I4:N4"/>
    <mergeCell ref="A4:A6"/>
    <mergeCell ref="B4:B6"/>
    <mergeCell ref="C4:C6"/>
    <mergeCell ref="D4:D6"/>
    <mergeCell ref="E4:E6"/>
    <mergeCell ref="G4:G6"/>
    <mergeCell ref="O4:T4"/>
    <mergeCell ref="U4:U6"/>
    <mergeCell ref="I5:J5"/>
    <mergeCell ref="K5:N5"/>
    <mergeCell ref="O5:P5"/>
    <mergeCell ref="Q5:T5"/>
  </mergeCells>
  <printOptions horizontalCentered="1"/>
  <pageMargins left="0.19685039370078741" right="0.19685039370078741" top="0.39370078740157483" bottom="0.19685039370078741" header="0.31496062992125984" footer="0.31496062992125984"/>
  <pageSetup paperSize="9" scale="38" fitToHeight="11" orientation="landscape" r:id="rId1"/>
  <headerFooter>
    <oddFooter>&amp;R&amp;P/&amp;N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2BC8E-D2DE-452E-8565-443279EF12E7}">
  <sheetPr>
    <pageSetUpPr fitToPage="1"/>
  </sheetPr>
  <dimension ref="A1:U9"/>
  <sheetViews>
    <sheetView zoomScale="90" zoomScaleNormal="90" workbookViewId="0">
      <selection activeCell="I15" sqref="I15"/>
    </sheetView>
  </sheetViews>
  <sheetFormatPr baseColWidth="10" defaultRowHeight="14.25" x14ac:dyDescent="0.45"/>
  <cols>
    <col min="1" max="1" width="7.86328125" customWidth="1"/>
    <col min="2" max="2" width="23.73046875" customWidth="1"/>
    <col min="3" max="3" width="10.3984375" style="26" customWidth="1"/>
    <col min="4" max="4" width="11.1328125" customWidth="1"/>
    <col min="5" max="5" width="15.265625" customWidth="1"/>
    <col min="6" max="6" width="15.3984375" customWidth="1"/>
    <col min="7" max="7" width="13.86328125" customWidth="1"/>
    <col min="8" max="8" width="42" customWidth="1"/>
    <col min="9" max="9" width="14.73046875" customWidth="1"/>
    <col min="10" max="10" width="14" bestFit="1" customWidth="1"/>
    <col min="11" max="11" width="11.1328125" customWidth="1"/>
    <col min="12" max="12" width="15.59765625" customWidth="1"/>
    <col min="13" max="13" width="14" bestFit="1" customWidth="1"/>
    <col min="14" max="14" width="15" customWidth="1"/>
    <col min="15" max="15" width="15.3984375" customWidth="1"/>
    <col min="16" max="16" width="14" bestFit="1" customWidth="1"/>
    <col min="17" max="17" width="11.265625" customWidth="1"/>
    <col min="18" max="18" width="14.265625" customWidth="1"/>
    <col min="19" max="19" width="14" bestFit="1" customWidth="1"/>
    <col min="20" max="20" width="15.59765625" customWidth="1"/>
    <col min="21" max="21" width="20.59765625" customWidth="1"/>
  </cols>
  <sheetData>
    <row r="1" spans="1:21" ht="15.75" x14ac:dyDescent="0.5">
      <c r="A1" s="25" t="s">
        <v>163</v>
      </c>
    </row>
    <row r="2" spans="1:21" ht="18" x14ac:dyDescent="0.55000000000000004">
      <c r="A2" s="11"/>
      <c r="H2" s="203" t="inlineStr">
        <is>
          <t xml:space="preserve">CDI ${tax_office_name}</t>
        </is>
      </c>
      <c r="I2" s="20"/>
    </row>
    <row r="4" spans="1:21" ht="19.5" customHeight="1" x14ac:dyDescent="0.45">
      <c r="A4" s="280" t="s">
        <v>6</v>
      </c>
      <c r="B4" s="324" t="s">
        <v>40</v>
      </c>
      <c r="C4" s="324" t="s">
        <v>41</v>
      </c>
      <c r="D4" s="324" t="s">
        <v>42</v>
      </c>
      <c r="E4" s="324" t="s">
        <v>71</v>
      </c>
      <c r="F4" s="324" t="s">
        <v>83</v>
      </c>
      <c r="G4" s="325" t="s">
        <v>82</v>
      </c>
      <c r="H4" s="325" t="s">
        <v>58</v>
      </c>
      <c r="I4" s="324" t="s">
        <v>84</v>
      </c>
      <c r="J4" s="324"/>
      <c r="K4" s="324"/>
      <c r="L4" s="324"/>
      <c r="M4" s="324"/>
      <c r="N4" s="324"/>
      <c r="O4" s="324" t="s">
        <v>85</v>
      </c>
      <c r="P4" s="324"/>
      <c r="Q4" s="324"/>
      <c r="R4" s="324"/>
      <c r="S4" s="324"/>
      <c r="T4" s="324"/>
      <c r="U4" s="325" t="s">
        <v>48</v>
      </c>
    </row>
    <row r="5" spans="1:21" ht="21.75" customHeight="1" x14ac:dyDescent="0.45">
      <c r="A5" s="280"/>
      <c r="B5" s="324"/>
      <c r="C5" s="324"/>
      <c r="D5" s="324"/>
      <c r="E5" s="324"/>
      <c r="F5" s="324"/>
      <c r="G5" s="326"/>
      <c r="H5" s="326"/>
      <c r="I5" s="324" t="s">
        <v>49</v>
      </c>
      <c r="J5" s="324"/>
      <c r="K5" s="324" t="s">
        <v>50</v>
      </c>
      <c r="L5" s="324"/>
      <c r="M5" s="324"/>
      <c r="N5" s="324"/>
      <c r="O5" s="324" t="s">
        <v>49</v>
      </c>
      <c r="P5" s="324"/>
      <c r="Q5" s="300" t="s">
        <v>50</v>
      </c>
      <c r="R5" s="301"/>
      <c r="S5" s="301"/>
      <c r="T5" s="302"/>
      <c r="U5" s="326"/>
    </row>
    <row r="6" spans="1:21" ht="34.5" customHeight="1" x14ac:dyDescent="0.45">
      <c r="A6" s="280"/>
      <c r="B6" s="324"/>
      <c r="C6" s="324"/>
      <c r="D6" s="324"/>
      <c r="E6" s="324"/>
      <c r="F6" s="324"/>
      <c r="G6" s="327"/>
      <c r="H6" s="327"/>
      <c r="I6" s="202" t="s">
        <v>51</v>
      </c>
      <c r="J6" s="202" t="s">
        <v>52</v>
      </c>
      <c r="K6" s="202" t="s">
        <v>53</v>
      </c>
      <c r="L6" s="202" t="s">
        <v>54</v>
      </c>
      <c r="M6" s="202" t="s">
        <v>55</v>
      </c>
      <c r="N6" s="202" t="s">
        <v>56</v>
      </c>
      <c r="O6" s="202" t="s">
        <v>51</v>
      </c>
      <c r="P6" s="202" t="s">
        <v>52</v>
      </c>
      <c r="Q6" s="202" t="s">
        <v>53</v>
      </c>
      <c r="R6" s="202" t="s">
        <v>54</v>
      </c>
      <c r="S6" s="202" t="s">
        <v>55</v>
      </c>
      <c r="T6" s="202" t="s">
        <v>56</v>
      </c>
      <c r="U6" s="327"/>
    </row>
    <row r="7" spans="1:21" ht="28.5" customHeight="1" x14ac:dyDescent="0.45">
      <c r="A7" s="67">
        <v>1</v>
      </c>
      <c r="B7" s="159" t="inlineStr">
        <is>
          <t xml:space="preserve">${member_name}</t>
        </is>
      </c>
      <c r="C7" s="160" t="inlineStr">
        <is>
          <t xml:space="preserve">${member_ncc}</t>
        </is>
      </c>
      <c r="D7" s="134" t="inlineStr">
        <is>
          <t xml:space="preserve">${member_activity}</t>
        </is>
      </c>
      <c r="E7" s="161" t="inlineStr">
        <is>
          <t xml:space="preserve">${member_address}</t>
        </is>
      </c>
      <c r="F7" s="162" t="inlineStr">
        <is>
          <t xml:space="preserve">${member_section_parcel}</t>
        </is>
      </c>
      <c r="G7" s="161" t="inlineStr">
        <is>
          <t xml:space="preserve">${membership_number_date}</t>
        </is>
      </c>
      <c r="H7" s="163" t="inlineStr">
        <is>
          <t xml:space="preserve">${member_turnover}</t>
        </is>
      </c>
      <c r="I7" s="62"/>
      <c r="J7" s="50"/>
      <c r="K7" s="50"/>
      <c r="L7" s="49"/>
      <c r="M7" s="50"/>
      <c r="N7" s="164"/>
      <c r="O7" s="165"/>
      <c r="P7" s="49"/>
      <c r="Q7" s="49"/>
      <c r="R7" s="49"/>
      <c r="S7" s="50"/>
      <c r="T7" s="164"/>
      <c r="U7" s="51" t="inlineStr">
        <is>
          <t xml:space="preserve">${termination_date_reason}</t>
        </is>
      </c>
    </row>
    <row r="8" spans="1:21" ht="22.5" customHeight="1" x14ac:dyDescent="0.45">
      <c r="A8" s="67">
        <v>2</v>
      </c>
      <c r="B8" s="166"/>
      <c r="C8" s="132"/>
      <c r="D8" s="140"/>
      <c r="E8" s="127"/>
      <c r="F8" s="167"/>
      <c r="G8" s="127"/>
      <c r="H8" s="151"/>
      <c r="I8" s="168"/>
      <c r="J8" s="50"/>
      <c r="K8" s="41"/>
      <c r="L8" s="41"/>
      <c r="M8" s="50"/>
      <c r="N8" s="164"/>
      <c r="O8" s="65"/>
      <c r="P8" s="49"/>
      <c r="Q8" s="41"/>
      <c r="R8" s="41"/>
      <c r="S8" s="50"/>
      <c r="T8" s="164"/>
      <c r="U8" s="51"/>
    </row>
    <row r="9" spans="1:21" ht="22.5" customHeight="1" x14ac:dyDescent="0.45">
      <c r="A9" s="310" t="s">
        <v>57</v>
      </c>
      <c r="B9" s="311"/>
      <c r="C9" s="311"/>
      <c r="D9" s="311"/>
      <c r="E9" s="311"/>
      <c r="F9" s="311"/>
      <c r="G9" s="312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</sheetData>
  <mergeCells count="16">
    <mergeCell ref="A9:G9"/>
    <mergeCell ref="G4:G6"/>
    <mergeCell ref="H4:H6"/>
    <mergeCell ref="I4:N4"/>
    <mergeCell ref="O4:T4"/>
    <mergeCell ref="U4:U6"/>
    <mergeCell ref="I5:J5"/>
    <mergeCell ref="K5:N5"/>
    <mergeCell ref="O5:P5"/>
    <mergeCell ref="Q5:T5"/>
    <mergeCell ref="A4:A6"/>
    <mergeCell ref="B4:B6"/>
    <mergeCell ref="C4:C6"/>
    <mergeCell ref="D4:D6"/>
    <mergeCell ref="E4:E6"/>
    <mergeCell ref="F4:F6"/>
  </mergeCells>
  <printOptions horizontalCentered="1"/>
  <pageMargins left="0.19685039370078741" right="0.19685039370078741" top="0.39370078740157483" bottom="0.19685039370078741" header="0.31496062992125984" footer="0.31496062992125984"/>
  <pageSetup paperSize="9" scale="38" fitToHeight="11" orientation="landscape" r:id="rId1"/>
  <headerFooter>
    <oddFooter>&amp;R&amp;P/&amp;N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3"/>
  <sheetViews>
    <sheetView tabSelected="1" topLeftCell="A9" workbookViewId="0">
      <selection activeCell="E28" sqref="E28"/>
    </sheetView>
  </sheetViews>
  <sheetFormatPr baseColWidth="10" defaultRowHeight="14.25" x14ac:dyDescent="0.45"/>
  <cols>
    <col min="1" max="1" width="15" customWidth="1"/>
    <col min="4" max="4" width="17.59765625" customWidth="1"/>
    <col min="7" max="7" width="31.265625" customWidth="1"/>
  </cols>
  <sheetData>
    <row r="1" spans="1:8" ht="18.399999999999999" thickBot="1" x14ac:dyDescent="0.6">
      <c r="A1" s="336" t="inlineStr">
        <is>
          <t xml:space="preserve">TABLEAU DE SYNTHESE DES ADHERENTS DU CGA ${cga_name} DU ${period_start} AU ${period_end}</t>
        </is>
      </c>
      <c r="B1" s="337"/>
      <c r="C1" s="337"/>
      <c r="D1" s="337"/>
      <c r="E1" s="337"/>
      <c r="F1" s="337"/>
      <c r="G1" s="337"/>
      <c r="H1" s="338"/>
    </row>
    <row r="3" spans="1:8" x14ac:dyDescent="0.45">
      <c r="A3" s="339" t="s">
        <v>164</v>
      </c>
      <c r="B3" s="339"/>
      <c r="C3" s="181"/>
      <c r="D3" s="339" t="s">
        <v>165</v>
      </c>
      <c r="E3" s="339"/>
      <c r="F3" s="4"/>
      <c r="G3" s="340" t="s">
        <v>105</v>
      </c>
      <c r="H3" s="341"/>
    </row>
    <row r="4" spans="1:8" x14ac:dyDescent="0.45">
      <c r="A4" s="339"/>
      <c r="B4" s="339"/>
      <c r="C4" s="176"/>
      <c r="D4" s="339"/>
      <c r="E4" s="339"/>
      <c r="G4" s="342"/>
      <c r="H4" s="343"/>
    </row>
    <row r="5" spans="1:8" ht="15.75" x14ac:dyDescent="0.5">
      <c r="A5" s="8" t="s">
        <v>109</v>
      </c>
      <c r="B5" s="69"/>
      <c r="D5" s="8" t="s">
        <v>109</v>
      </c>
      <c r="E5" s="72"/>
      <c r="G5" s="75" t="s">
        <v>164</v>
      </c>
      <c r="H5" s="74"/>
    </row>
    <row r="6" spans="1:8" ht="15.75" x14ac:dyDescent="0.5">
      <c r="A6" s="8" t="s">
        <v>110</v>
      </c>
      <c r="B6" s="69"/>
      <c r="D6" s="8" t="s">
        <v>110</v>
      </c>
      <c r="E6" s="72"/>
      <c r="G6" s="75" t="s">
        <v>165</v>
      </c>
      <c r="H6" s="74"/>
    </row>
    <row r="7" spans="1:8" ht="15.75" x14ac:dyDescent="0.5">
      <c r="A7" s="75" t="s">
        <v>57</v>
      </c>
      <c r="B7" s="76">
        <f>SUM(B5:B6)</f>
      </c>
      <c r="D7" s="75" t="s">
        <v>57</v>
      </c>
      <c r="E7" s="74">
        <f>SUM(E5:E6)</f>
      </c>
    </row>
    <row r="10" spans="1:8" x14ac:dyDescent="0.45">
      <c r="A10" s="344" t="s">
        <v>167</v>
      </c>
      <c r="B10" s="344"/>
      <c r="C10" s="176"/>
      <c r="D10" s="339" t="s">
        <v>166</v>
      </c>
      <c r="E10" s="339"/>
      <c r="G10" s="345" t="s">
        <v>107</v>
      </c>
      <c r="H10" s="345"/>
    </row>
    <row r="11" spans="1:8" x14ac:dyDescent="0.45">
      <c r="A11" s="344"/>
      <c r="B11" s="344"/>
      <c r="C11" s="176"/>
      <c r="D11" s="339"/>
      <c r="E11" s="339"/>
      <c r="G11" s="345"/>
      <c r="H11" s="345"/>
    </row>
    <row r="12" spans="1:8" ht="15.75" x14ac:dyDescent="0.5">
      <c r="A12" s="8" t="s">
        <v>109</v>
      </c>
      <c r="B12" s="69">
        <v>0</v>
      </c>
      <c r="D12" s="8" t="s">
        <v>109</v>
      </c>
      <c r="E12" s="69">
        <v>0</v>
      </c>
      <c r="G12" s="75" t="s">
        <v>164</v>
      </c>
      <c r="H12" s="74">
        <v>0</v>
      </c>
    </row>
    <row r="13" spans="1:8" ht="15.75" x14ac:dyDescent="0.5">
      <c r="A13" s="8" t="s">
        <v>110</v>
      </c>
      <c r="B13" s="69">
        <v>0</v>
      </c>
      <c r="D13" s="8" t="s">
        <v>110</v>
      </c>
      <c r="E13" s="69">
        <v>0</v>
      </c>
      <c r="G13" s="75" t="s">
        <v>165</v>
      </c>
      <c r="H13" s="74">
        <v>0</v>
      </c>
    </row>
    <row r="14" spans="1:8" ht="15.75" x14ac:dyDescent="0.5">
      <c r="A14" s="8" t="s">
        <v>111</v>
      </c>
      <c r="B14" s="69">
        <v>0</v>
      </c>
      <c r="D14" s="8" t="s">
        <v>111</v>
      </c>
      <c r="E14" s="69">
        <v>0</v>
      </c>
      <c r="G14" s="77" t="s">
        <v>106</v>
      </c>
      <c r="H14" s="74">
        <f>+H12+H13</f>
      </c>
    </row>
    <row r="15" spans="1:8" ht="15.75" x14ac:dyDescent="0.5">
      <c r="A15" s="75" t="s">
        <v>57</v>
      </c>
      <c r="B15" s="76">
        <f>SUM(B12:B14)</f>
      </c>
      <c r="D15" s="75" t="s">
        <v>57</v>
      </c>
      <c r="E15" s="76">
        <f>SUM(E12:E14)</f>
      </c>
    </row>
    <row r="19" spans="1:8" x14ac:dyDescent="0.45">
      <c r="A19" s="330" t="s">
        <v>168</v>
      </c>
      <c r="B19" s="330"/>
      <c r="D19" s="330" t="s">
        <v>169</v>
      </c>
      <c r="E19" s="330"/>
      <c r="G19" s="331" t="s">
        <v>108</v>
      </c>
      <c r="H19" s="332"/>
    </row>
    <row r="20" spans="1:8" x14ac:dyDescent="0.45">
      <c r="A20" s="330"/>
      <c r="B20" s="330"/>
      <c r="D20" s="330"/>
      <c r="E20" s="330"/>
      <c r="G20" s="333"/>
      <c r="H20" s="334"/>
    </row>
    <row r="21" spans="1:8" ht="15.75" x14ac:dyDescent="0.5">
      <c r="A21" s="8" t="s">
        <v>109</v>
      </c>
      <c r="B21" s="69"/>
      <c r="D21" s="8" t="s">
        <v>109</v>
      </c>
      <c r="E21" s="69"/>
      <c r="G21" s="75" t="s">
        <v>164</v>
      </c>
      <c r="H21" s="73"/>
    </row>
    <row r="22" spans="1:8" ht="15.75" x14ac:dyDescent="0.5">
      <c r="A22" s="8" t="s">
        <v>110</v>
      </c>
      <c r="B22" s="69"/>
      <c r="D22" s="8" t="s">
        <v>110</v>
      </c>
      <c r="E22" s="69"/>
      <c r="G22" s="75" t="s">
        <v>165</v>
      </c>
      <c r="H22" s="73"/>
    </row>
    <row r="23" spans="1:8" x14ac:dyDescent="0.45">
      <c r="A23" s="8" t="s">
        <v>111</v>
      </c>
      <c r="B23" s="69"/>
      <c r="D23" s="8" t="s">
        <v>111</v>
      </c>
      <c r="E23" s="69"/>
      <c r="G23" s="77" t="s">
        <v>106</v>
      </c>
      <c r="H23" s="73">
        <f>+H21+H22</f>
      </c>
    </row>
    <row r="24" spans="1:8" ht="15.75" x14ac:dyDescent="0.5">
      <c r="A24" s="75" t="s">
        <v>57</v>
      </c>
      <c r="B24" s="76">
        <f>SUM(B21:B23)</f>
      </c>
      <c r="D24" s="75" t="s">
        <v>57</v>
      </c>
      <c r="E24" s="76">
        <f>SUM(E21:E23)</f>
      </c>
    </row>
    <row r="27" spans="1:8" ht="15.75" x14ac:dyDescent="0.5">
      <c r="A27" s="335" t="s">
        <v>170</v>
      </c>
      <c r="B27" s="335"/>
      <c r="C27" s="335"/>
      <c r="E27" s="335" t="s">
        <v>171</v>
      </c>
      <c r="F27" s="335"/>
      <c r="G27" s="335"/>
    </row>
    <row r="28" spans="1:8" x14ac:dyDescent="0.45">
      <c r="A28" s="8" t="s">
        <v>109</v>
      </c>
      <c r="B28" s="328"/>
      <c r="C28" s="328"/>
      <c r="E28" s="8" t="s">
        <v>109</v>
      </c>
      <c r="F28" s="328"/>
      <c r="G28" s="328"/>
    </row>
    <row r="29" spans="1:8" x14ac:dyDescent="0.45">
      <c r="A29" s="8" t="s">
        <v>110</v>
      </c>
      <c r="B29" s="328"/>
      <c r="C29" s="328"/>
      <c r="E29" s="8" t="s">
        <v>110</v>
      </c>
      <c r="F29" s="328"/>
      <c r="G29" s="328"/>
    </row>
    <row r="30" spans="1:8" x14ac:dyDescent="0.45">
      <c r="A30" s="8" t="s">
        <v>111</v>
      </c>
      <c r="B30" s="328"/>
      <c r="C30" s="328"/>
      <c r="E30" s="8" t="s">
        <v>111</v>
      </c>
      <c r="F30" s="328"/>
      <c r="G30" s="328"/>
    </row>
    <row r="31" spans="1:8" x14ac:dyDescent="0.45">
      <c r="A31" s="8" t="s">
        <v>112</v>
      </c>
      <c r="B31" s="328"/>
      <c r="C31" s="328"/>
      <c r="E31" s="8" t="s">
        <v>112</v>
      </c>
      <c r="F31" s="328"/>
      <c r="G31" s="328"/>
    </row>
    <row r="32" spans="1:8" x14ac:dyDescent="0.45">
      <c r="A32" s="8" t="s">
        <v>113</v>
      </c>
      <c r="B32" s="328"/>
      <c r="C32" s="328"/>
      <c r="E32" s="8" t="s">
        <v>113</v>
      </c>
      <c r="F32" s="328"/>
      <c r="G32" s="328"/>
    </row>
    <row r="33" spans="1:7" ht="15.75" x14ac:dyDescent="0.5">
      <c r="A33" s="75" t="s">
        <v>57</v>
      </c>
      <c r="B33" s="329"/>
      <c r="C33" s="329"/>
      <c r="E33" s="75" t="s">
        <v>57</v>
      </c>
      <c r="F33" s="329"/>
      <c r="G33" s="329"/>
    </row>
  </sheetData>
  <mergeCells count="24">
    <mergeCell ref="F30:G30"/>
    <mergeCell ref="F31:G31"/>
    <mergeCell ref="F32:G32"/>
    <mergeCell ref="F33:G33"/>
    <mergeCell ref="A1:H1"/>
    <mergeCell ref="A3:B4"/>
    <mergeCell ref="D3:E4"/>
    <mergeCell ref="G3:H4"/>
    <mergeCell ref="A10:B11"/>
    <mergeCell ref="D10:E11"/>
    <mergeCell ref="G10:H11"/>
    <mergeCell ref="D19:E20"/>
    <mergeCell ref="G19:H20"/>
    <mergeCell ref="A27:C27"/>
    <mergeCell ref="B28:C28"/>
    <mergeCell ref="B29:C29"/>
    <mergeCell ref="E27:G27"/>
    <mergeCell ref="F28:G28"/>
    <mergeCell ref="F29:G29"/>
    <mergeCell ref="B30:C30"/>
    <mergeCell ref="B31:C31"/>
    <mergeCell ref="B32:C32"/>
    <mergeCell ref="B33:C33"/>
    <mergeCell ref="A19:B20"/>
  </mergeCells>
  <pageMargins left="0.7" right="0.7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2</vt:i4>
      </vt:variant>
    </vt:vector>
  </HeadingPairs>
  <TitlesOfParts>
    <vt:vector size="16" baseType="lpstr">
      <vt:lpstr>Page de garde</vt:lpstr>
      <vt:lpstr>Fiche tech CGA</vt:lpstr>
      <vt:lpstr>Suivi TEE</vt:lpstr>
      <vt:lpstr>Suivi RME</vt:lpstr>
      <vt:lpstr>Nvx TEE</vt:lpstr>
      <vt:lpstr>NvxRME</vt:lpstr>
      <vt:lpstr>Surclassement IS-RME</vt:lpstr>
      <vt:lpstr>Surclassement RME-RSI</vt:lpstr>
      <vt:lpstr>Résiliation TEE</vt:lpstr>
      <vt:lpstr>Résiliation RME</vt:lpstr>
      <vt:lpstr>TEE augmenté</vt:lpstr>
      <vt:lpstr>RME augment</vt:lpstr>
      <vt:lpstr>RESUME</vt:lpstr>
      <vt:lpstr>Feuil1</vt:lpstr>
      <vt:lpstr>'Fiche tech CGA'!_ftn1</vt:lpstr>
      <vt:lpstr>'Fiche tech CGA'!_ftnref1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2026-10-20T00:00:00Z</dcterms:created>
  <dcterms:modified xsi:type="dcterms:W3CDTF">2026-10-20T00:00:00Z</dcterms:modified>
</cp:coreProperties>
</file>